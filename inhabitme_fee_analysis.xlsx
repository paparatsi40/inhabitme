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mpetitive Analysis" sheetId="2" state="visible" r:id="rId4"/>
    <sheet name="Revenue Projections" sheetId="3" state="visible" r:id="rId5"/>
    <sheet name="Unit Econom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<sst xmlns="http://schemas.openxmlformats.org/spreadsheetml/2006/main" count="269" uniqueCount="214">
  <si>
    <t xml:space="preserve">InhabitMe — Fee Model &amp; Pricing Assumptions</t>
  </si>
  <si>
    <t xml:space="preserve">Blue = editable inputs  |  Black = calculated  |  Yellow = key assumptions requiring review</t>
  </si>
  <si>
    <t xml:space="preserve">Fee Structure — InhabitMe (both sides pay flat fee)</t>
  </si>
  <si>
    <t xml:space="preserve">Duration Tier</t>
  </si>
  <si>
    <t xml:space="preserve">Duration (months)</t>
  </si>
  <si>
    <t xml:space="preserve">Guest Fee (€)</t>
  </si>
  <si>
    <t xml:space="preserve">Host Fee (€)</t>
  </si>
  <si>
    <t xml:space="preserve">Total per txn (€)</t>
  </si>
  <si>
    <t xml:space="preserve">Notes</t>
  </si>
  <si>
    <t xml:space="preserve">Tier 1 — Short</t>
  </si>
  <si>
    <t xml:space="preserve">1</t>
  </si>
  <si>
    <t xml:space="preserve">Confirmed by founder</t>
  </si>
  <si>
    <t xml:space="preserve">Tier 2 — Mid</t>
  </si>
  <si>
    <t xml:space="preserve">2–3</t>
  </si>
  <si>
    <t xml:space="preserve">Tier 3 — Standard</t>
  </si>
  <si>
    <t xml:space="preserve">4–6</t>
  </si>
  <si>
    <t xml:space="preserve">Tier 4 — Long</t>
  </si>
  <si>
    <t xml:space="preserve">7+</t>
  </si>
  <si>
    <t xml:space="preserve">Weighted avg total fee (equal txn weight)</t>
  </si>
  <si>
    <t xml:space="preserve">Market Reference — Avg Rental Values (Spain/Portugal)</t>
  </si>
  <si>
    <t xml:space="preserve">City</t>
  </si>
  <si>
    <t xml:space="preserve">Avg Rent/mo (€)</t>
  </si>
  <si>
    <t xml:space="preserve">Avg Duration (mo)</t>
  </si>
  <si>
    <t xml:space="preserve">Avg Booking Value (€)</t>
  </si>
  <si>
    <t xml:space="preserve">InhabitMe fee %</t>
  </si>
  <si>
    <t xml:space="preserve">Airbnb fee %</t>
  </si>
  <si>
    <t xml:space="preserve">Madrid</t>
  </si>
  <si>
    <t xml:space="preserve">Barcelona</t>
  </si>
  <si>
    <t xml:space="preserve">Valencia</t>
  </si>
  <si>
    <t xml:space="preserve">Lisbon</t>
  </si>
  <si>
    <t xml:space="preserve">Seville</t>
  </si>
  <si>
    <t xml:space="preserve">Volume Assumptions (transactions / month)</t>
  </si>
  <si>
    <t xml:space="preserve">Scenario</t>
  </si>
  <si>
    <t xml:space="preserve">Y1 Start</t>
  </si>
  <si>
    <t xml:space="preserve">Y1 End</t>
  </si>
  <si>
    <t xml:space="preserve">Y2 End</t>
  </si>
  <si>
    <t xml:space="preserve">Y3 End</t>
  </si>
  <si>
    <t xml:space="preserve">Bear 🐻</t>
  </si>
  <si>
    <t xml:space="preserve">Slow adoption, high CAC</t>
  </si>
  <si>
    <t xml:space="preserve">Base 📊</t>
  </si>
  <si>
    <t xml:space="preserve">Moderate growth, organic + paid</t>
  </si>
  <si>
    <t xml:space="preserve">Bull 🚀</t>
  </si>
  <si>
    <t xml:space="preserve">Strong network effects, PR traction</t>
  </si>
  <si>
    <t xml:space="preserve">Tier Mix Assumption (% of transactions per tier)</t>
  </si>
  <si>
    <t xml:space="preserve">Tier</t>
  </si>
  <si>
    <t xml:space="preserve">% of txns</t>
  </si>
  <si>
    <t xml:space="preserve">Total fee (€)</t>
  </si>
  <si>
    <t xml:space="preserve">Weighted contrib (€)</t>
  </si>
  <si>
    <t xml:space="preserve">Blended avg fee / transaction</t>
  </si>
  <si>
    <t xml:space="preserve">Mix sums to 100%?</t>
  </si>
  <si>
    <t xml:space="preserve">InhabitMe — Competitive Fee Analysis (Mid-Term Rental Platforms)</t>
  </si>
  <si>
    <t xml:space="preserve">Source: Public platform fee disclosures, Q1 2025. All figures in EUR. Assumes 3-month stay @ €1,400/mo = €4,200 booking value.</t>
  </si>
  <si>
    <t xml:space="preserve">Platform</t>
  </si>
  <si>
    <t xml:space="preserve">Target Market</t>
  </si>
  <si>
    <t xml:space="preserve">Guest Fee %</t>
  </si>
  <si>
    <t xml:space="preserve">Guest Fee €*</t>
  </si>
  <si>
    <t xml:space="preserve">Host Fee %</t>
  </si>
  <si>
    <t xml:space="preserve">Host Fee €*</t>
  </si>
  <si>
    <t xml:space="preserve">Total Fee €*</t>
  </si>
  <si>
    <t xml:space="preserve">vs InhabitMe</t>
  </si>
  <si>
    <t xml:space="preserve">Positioning</t>
  </si>
  <si>
    <t xml:space="preserve">Min Stay</t>
  </si>
  <si>
    <t xml:space="preserve">InhabitMe 🏠</t>
  </si>
  <si>
    <t xml:space="preserve">Mid-term (1-6mo)</t>
  </si>
  <si>
    <t xml:space="preserve">Flat</t>
  </si>
  <si>
    <t xml:space="preserve">—</t>
  </si>
  <si>
    <t xml:space="preserve">Flat fee — no % of rent. Base scenario Tier 3.</t>
  </si>
  <si>
    <t xml:space="preserve">1 month</t>
  </si>
  <si>
    <t xml:space="preserve">Airbnb</t>
  </si>
  <si>
    <t xml:space="preserve">Short → mid-term</t>
  </si>
  <si>
    <t xml:space="preserve">Guest 14%; Host 3% (split-fee model)</t>
  </si>
  <si>
    <t xml:space="preserve">1 night</t>
  </si>
  <si>
    <t xml:space="preserve">Booking.com</t>
  </si>
  <si>
    <t xml:space="preserve">Host pays 15% commission; guest fee varies</t>
  </si>
  <si>
    <t xml:space="preserve">Spotahome</t>
  </si>
  <si>
    <t xml:space="preserve">Mid-term (1-11mo)</t>
  </si>
  <si>
    <t xml:space="preserve">Guest booking fee ~10%; host pays €0</t>
  </si>
  <si>
    <t xml:space="preserve">Homefully</t>
  </si>
  <si>
    <t xml:space="preserve">Mid-term (1-12mo)</t>
  </si>
  <si>
    <t xml:space="preserve">~5% guest + 7% host; pricing opaque</t>
  </si>
  <si>
    <t xml:space="preserve">HousingAnywhere</t>
  </si>
  <si>
    <t xml:space="preserve">Mid-term (3-12mo)</t>
  </si>
  <si>
    <t xml:space="preserve">18.5% booking fee (guest only)</t>
  </si>
  <si>
    <t xml:space="preserve">3 months</t>
  </si>
  <si>
    <t xml:space="preserve">Flatio</t>
  </si>
  <si>
    <t xml:space="preserve">~5% each side; €0 for direct bookings</t>
  </si>
  <si>
    <t xml:space="preserve">Idealista Rent</t>
  </si>
  <si>
    <t xml:space="preserve">Long-term focus</t>
  </si>
  <si>
    <t xml:space="preserve">Host pays ~8-10% agency; guest pays €0</t>
  </si>
  <si>
    <t xml:space="preserve">12 months</t>
  </si>
  <si>
    <t xml:space="preserve">Uniplaces</t>
  </si>
  <si>
    <t xml:space="preserve">Student/mid-term</t>
  </si>
  <si>
    <t xml:space="preserve">~9% guest + 4% host</t>
  </si>
  <si>
    <t xml:space="preserve">* Reference: 3-month stay at €1,400/month = €4,200 total booking value. InhabitMe flat fee for Tier 3 (4-6 months) used as benchmark.</t>
  </si>
  <si>
    <t xml:space="preserve">Key Insight: InhabitMe's flat-fee model is 60–80% cheaper than percentage-based competitors on mid-value bookings, while remaining profitable at scale.</t>
  </si>
  <si>
    <t xml:space="preserve">Feature Comparison</t>
  </si>
  <si>
    <t xml:space="preserve">Feature</t>
  </si>
  <si>
    <t xml:space="preserve">InhabitMe</t>
  </si>
  <si>
    <t xml:space="preserve">Fee model</t>
  </si>
  <si>
    <t xml:space="preserve">Flat fee both sides</t>
  </si>
  <si>
    <t xml:space="preserve">% both sides</t>
  </si>
  <si>
    <t xml:space="preserve">% guest only</t>
  </si>
  <si>
    <t xml:space="preserve">Mid-term focus</t>
  </si>
  <si>
    <t xml:space="preserve">✅ Core focus</t>
  </si>
  <si>
    <t xml:space="preserve">⚠ Secondary</t>
  </si>
  <si>
    <t xml:space="preserve">✅ Yes</t>
  </si>
  <si>
    <t xml:space="preserve">Remote work amenities</t>
  </si>
  <si>
    <t xml:space="preserve">✅ Verified WiFi+desk</t>
  </si>
  <si>
    <t xml:space="preserve">❌ No</t>
  </si>
  <si>
    <t xml:space="preserve">Price transparency</t>
  </si>
  <si>
    <t xml:space="preserve">✅ Flat — no surprises</t>
  </si>
  <si>
    <t xml:space="preserve">⚠ Complex</t>
  </si>
  <si>
    <t xml:space="preserve">⚠ Varies</t>
  </si>
  <si>
    <t xml:space="preserve">Host lead unlock</t>
  </si>
  <si>
    <t xml:space="preserve">✅ HOT/WARM/COLD</t>
  </si>
  <si>
    <t xml:space="preserve">Coverage</t>
  </si>
  <si>
    <t xml:space="preserve">🇪🇸🇵🇹 Spain+PT</t>
  </si>
  <si>
    <t xml:space="preserve">🌍 Global</t>
  </si>
  <si>
    <t xml:space="preserve">🇪🇺 Europe</t>
  </si>
  <si>
    <t xml:space="preserve">InhabitMe — Revenue Projections (3-Year Model, Monthly)</t>
  </si>
  <si>
    <t xml:space="preserve">Blended avg fee per transaction pulled from Assumptions sheet. Scenarios: Bear / Base / Bull.</t>
  </si>
  <si>
    <t xml:space="preserve">Key Inputs (linked from Assumptions)</t>
  </si>
  <si>
    <t xml:space="preserve">Blended avg fee / txn (€)</t>
  </si>
  <si>
    <t xml:space="preserve">Bear — Y1 start txns/mo</t>
  </si>
  <si>
    <t xml:space="preserve">Bear — Y1 end txns/mo</t>
  </si>
  <si>
    <t xml:space="preserve">Bear — Y2 end txns/mo</t>
  </si>
  <si>
    <t xml:space="preserve">Bear — Y3 end txns/mo</t>
  </si>
  <si>
    <t xml:space="preserve">Base — Y1 start txns/mo</t>
  </si>
  <si>
    <t xml:space="preserve">Base — Y1 end txns/mo</t>
  </si>
  <si>
    <t xml:space="preserve">Base — Y2 end txns/mo</t>
  </si>
  <si>
    <t xml:space="preserve">Base — Y3 end txns/mo</t>
  </si>
  <si>
    <t xml:space="preserve">Bull — Y1 start txns/mo</t>
  </si>
  <si>
    <t xml:space="preserve">Bull — Y1 end txns/mo</t>
  </si>
  <si>
    <t xml:space="preserve">Bull — Y2 end txns/mo</t>
  </si>
  <si>
    <t xml:space="preserve">Bull — Y3 end txns/mo</t>
  </si>
  <si>
    <t xml:space="preserve">Period</t>
  </si>
  <si>
    <t xml:space="preserve">Bear — Transactions</t>
  </si>
  <si>
    <t xml:space="preserve">Bear — Revenue (€)</t>
  </si>
  <si>
    <t xml:space="preserve">Base — Transactions</t>
  </si>
  <si>
    <t xml:space="preserve">Base — Revenue (€)</t>
  </si>
  <si>
    <t xml:space="preserve">Bull — Transactions</t>
  </si>
  <si>
    <t xml:space="preserve">Bull — Revenue (€)</t>
  </si>
  <si>
    <t xml:space="preserve">Y1 M01</t>
  </si>
  <si>
    <t xml:space="preserve">Y1 M02</t>
  </si>
  <si>
    <t xml:space="preserve">Y1 M03</t>
  </si>
  <si>
    <t xml:space="preserve">Y1 M04</t>
  </si>
  <si>
    <t xml:space="preserve">Y1 M05</t>
  </si>
  <si>
    <t xml:space="preserve">Y1 M06</t>
  </si>
  <si>
    <t xml:space="preserve">Y1 M07</t>
  </si>
  <si>
    <t xml:space="preserve">Y1 M08</t>
  </si>
  <si>
    <t xml:space="preserve">Y1 M09</t>
  </si>
  <si>
    <t xml:space="preserve">Y1 M10</t>
  </si>
  <si>
    <t xml:space="preserve">Y1 M11</t>
  </si>
  <si>
    <t xml:space="preserve">Y1 M12</t>
  </si>
  <si>
    <t xml:space="preserve">Y2 M01</t>
  </si>
  <si>
    <t xml:space="preserve">Y2 M02</t>
  </si>
  <si>
    <t xml:space="preserve">Y2 M03</t>
  </si>
  <si>
    <t xml:space="preserve">Y2 M04</t>
  </si>
  <si>
    <t xml:space="preserve">Y2 M05</t>
  </si>
  <si>
    <t xml:space="preserve">Y2 M06</t>
  </si>
  <si>
    <t xml:space="preserve">Y2 M07</t>
  </si>
  <si>
    <t xml:space="preserve">Y2 M08</t>
  </si>
  <si>
    <t xml:space="preserve">Y2 M09</t>
  </si>
  <si>
    <t xml:space="preserve">Y2 M10</t>
  </si>
  <si>
    <t xml:space="preserve">Y2 M11</t>
  </si>
  <si>
    <t xml:space="preserve">Y2 M12</t>
  </si>
  <si>
    <t xml:space="preserve">Y3 M01</t>
  </si>
  <si>
    <t xml:space="preserve">Y3 M02</t>
  </si>
  <si>
    <t xml:space="preserve">Y3 M03</t>
  </si>
  <si>
    <t xml:space="preserve">Y3 M04</t>
  </si>
  <si>
    <t xml:space="preserve">Y3 M05</t>
  </si>
  <si>
    <t xml:space="preserve">Y3 M06</t>
  </si>
  <si>
    <t xml:space="preserve">Y3 M07</t>
  </si>
  <si>
    <t xml:space="preserve">Y3 M08</t>
  </si>
  <si>
    <t xml:space="preserve">Y3 M09</t>
  </si>
  <si>
    <t xml:space="preserve">Y3 M10</t>
  </si>
  <si>
    <t xml:space="preserve">Y3 M11</t>
  </si>
  <si>
    <t xml:space="preserve">Y3 M12</t>
  </si>
  <si>
    <t xml:space="preserve">Annual Summary</t>
  </si>
  <si>
    <t xml:space="preserve">Year</t>
  </si>
  <si>
    <t xml:space="preserve">Bear — Txns</t>
  </si>
  <si>
    <t xml:space="preserve">Base — Txns</t>
  </si>
  <si>
    <t xml:space="preserve">Bull — Txns</t>
  </si>
  <si>
    <t xml:space="preserve">Year 1</t>
  </si>
  <si>
    <t xml:space="preserve">Year 2</t>
  </si>
  <si>
    <t xml:space="preserve">Year 3</t>
  </si>
  <si>
    <t xml:space="preserve">3-Year Total</t>
  </si>
  <si>
    <t xml:space="preserve">InhabitMe — Unit Economics per Transaction</t>
  </si>
  <si>
    <t xml:space="preserve">Revenue per Transaction by Tier</t>
  </si>
  <si>
    <t xml:space="preserve">Duration</t>
  </si>
  <si>
    <t xml:space="preserve">Guest Fee</t>
  </si>
  <si>
    <t xml:space="preserve">Host Fee</t>
  </si>
  <si>
    <t xml:space="preserve">Gross Revenue</t>
  </si>
  <si>
    <t xml:space="preserve">vs Airbnb (€)</t>
  </si>
  <si>
    <t xml:space="preserve">vs Airbnb (%)</t>
  </si>
  <si>
    <t xml:space="preserve">Savings to users</t>
  </si>
  <si>
    <t xml:space="preserve">Average (equal weight)</t>
  </si>
  <si>
    <t xml:space="preserve">Breakeven &amp; Scale Milestones</t>
  </si>
  <si>
    <t xml:space="preserve">Milestone</t>
  </si>
  <si>
    <t xml:space="preserve">Monthly Txns needed</t>
  </si>
  <si>
    <t xml:space="preserve">Monthly Revenue (€)</t>
  </si>
  <si>
    <t xml:space="preserve">Annual Revenue (€)</t>
  </si>
  <si>
    <t xml:space="preserve">Cover 1 FTE (€3,000/mo)</t>
  </si>
  <si>
    <t xml:space="preserve">~1 hire</t>
  </si>
  <si>
    <t xml:space="preserve">Cover 2 FTE (€6,000/mo)</t>
  </si>
  <si>
    <t xml:space="preserve">~2 hires</t>
  </si>
  <si>
    <t xml:space="preserve">Cover 5 FTE (€15,000/mo)</t>
  </si>
  <si>
    <t xml:space="preserve">~5 hires</t>
  </si>
  <si>
    <t xml:space="preserve">€100K ARR</t>
  </si>
  <si>
    <t xml:space="preserve">Key SaaS milestone</t>
  </si>
  <si>
    <t xml:space="preserve">€500K ARR</t>
  </si>
  <si>
    <t xml:space="preserve">Growth stage</t>
  </si>
  <si>
    <t xml:space="preserve">€1M ARR</t>
  </si>
  <si>
    <t xml:space="preserve">Scale stage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</si>
</sst>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€#,##0;&quot;(€&quot;#,##0\);\-"/>
    <numFmt numFmtId="166" formatCode="#,##0"/>
    <numFmt numFmtId="167" formatCode="0.0%"/>
    <numFmt numFmtId="168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33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3366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BDD7EE"/>
        <bgColor rgb="FFD9D9D9"/>
      </patternFill>
    </fill>
    <fill>
      <patternFill patternType="solid">
        <fgColor rgb="FFF2F2F2"/>
        <bgColor rgb="FFEAF0FF"/>
      </patternFill>
    </fill>
    <fill>
      <patternFill patternType="solid">
        <fgColor rgb="FFDDEEFF"/>
        <bgColor rgb="FFEAF0FF"/>
      </patternFill>
    </fill>
    <fill>
      <patternFill patternType="solid">
        <fgColor rgb="FFD9D9D9"/>
        <bgColor rgb="FFBDD7EE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5B5B5B"/>
        <bgColor rgb="FF595959"/>
      </patternFill>
    </fill>
    <fill>
      <patternFill patternType="solid">
        <fgColor rgb="FF0070C0"/>
        <bgColor rgb="FF008080"/>
      </patternFill>
    </fill>
    <fill>
      <patternFill patternType="solid">
        <fgColor rgb="FFEAF0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E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B5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3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s">
        <v>10</v>
      </c>
      <c r="C6" s="7" t="n">
        <v>79</v>
      </c>
      <c r="D6" s="7" t="n">
        <v>49</v>
      </c>
      <c r="E6" s="8" t="n">
        <f aca="false">C6+D6</f>
        <v>128</v>
      </c>
      <c r="F6" s="9" t="s">
        <v>11</v>
      </c>
    </row>
    <row r="7" customFormat="false" ht="15" hidden="false" customHeight="false" outlineLevel="0" collapsed="false">
      <c r="A7" s="5" t="s">
        <v>12</v>
      </c>
      <c r="B7" s="6" t="s">
        <v>13</v>
      </c>
      <c r="C7" s="7" t="n">
        <v>139</v>
      </c>
      <c r="D7" s="7" t="n">
        <v>79</v>
      </c>
      <c r="E7" s="8" t="n">
        <f aca="false">C7+D7</f>
        <v>218</v>
      </c>
      <c r="F7" s="9" t="s">
        <v>11</v>
      </c>
    </row>
    <row r="8" customFormat="false" ht="15" hidden="false" customHeight="false" outlineLevel="0" collapsed="false">
      <c r="A8" s="5" t="s">
        <v>14</v>
      </c>
      <c r="B8" s="6" t="s">
        <v>15</v>
      </c>
      <c r="C8" s="7" t="n">
        <v>189</v>
      </c>
      <c r="D8" s="7" t="n">
        <v>99</v>
      </c>
      <c r="E8" s="8" t="n">
        <f aca="false">C8+D8</f>
        <v>288</v>
      </c>
      <c r="F8" s="9" t="s">
        <v>11</v>
      </c>
    </row>
    <row r="9" customFormat="false" ht="15" hidden="false" customHeight="false" outlineLevel="0" collapsed="false">
      <c r="A9" s="5" t="s">
        <v>16</v>
      </c>
      <c r="B9" s="6" t="s">
        <v>17</v>
      </c>
      <c r="C9" s="7" t="n">
        <v>239</v>
      </c>
      <c r="D9" s="7" t="n">
        <v>119</v>
      </c>
      <c r="E9" s="8" t="n">
        <f aca="false">C9+D9</f>
        <v>358</v>
      </c>
      <c r="F9" s="9" t="s">
        <v>11</v>
      </c>
    </row>
    <row r="10" customFormat="false" ht="15" hidden="false" customHeight="false" outlineLevel="0" collapsed="false">
      <c r="A10" s="10" t="s">
        <v>18</v>
      </c>
      <c r="B10" s="10"/>
      <c r="E10" s="11" t="n">
        <f aca="false">AVERAGE(E6:E9)</f>
        <v>248</v>
      </c>
    </row>
    <row r="12" customFormat="false" ht="15" hidden="false" customHeight="false" outlineLevel="0" collapsed="false">
      <c r="A12" s="3" t="s">
        <v>19</v>
      </c>
      <c r="B12" s="3"/>
      <c r="C12" s="3"/>
      <c r="D12" s="3"/>
      <c r="E12" s="3"/>
      <c r="F12" s="3"/>
    </row>
    <row r="13" customFormat="false" ht="15" hidden="false" customHeight="false" outlineLevel="0" collapsed="false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</row>
    <row r="14" customFormat="false" ht="15" hidden="false" customHeight="false" outlineLevel="0" collapsed="false">
      <c r="A14" s="12" t="s">
        <v>26</v>
      </c>
      <c r="B14" s="7" t="n">
        <v>1400</v>
      </c>
      <c r="C14" s="13" t="n">
        <v>3</v>
      </c>
      <c r="D14" s="8" t="n">
        <f aca="false">B14*C14</f>
        <v>4200</v>
      </c>
      <c r="E14" s="14" t="n">
        <f aca="false">IF(C14&lt;=1,E6,IF(C14&lt;=3,E7,IF(C14&lt;=6,E8,E9)))/D14</f>
        <v>0.0519047619047619</v>
      </c>
      <c r="F14" s="15" t="n">
        <v>0.17</v>
      </c>
    </row>
    <row r="15" customFormat="false" ht="15" hidden="false" customHeight="false" outlineLevel="0" collapsed="false">
      <c r="A15" s="12" t="s">
        <v>27</v>
      </c>
      <c r="B15" s="7" t="n">
        <v>1600</v>
      </c>
      <c r="C15" s="13" t="n">
        <v>3</v>
      </c>
      <c r="D15" s="8" t="n">
        <f aca="false">B15*C15</f>
        <v>4800</v>
      </c>
      <c r="E15" s="14" t="n">
        <f aca="false">IF(C15&lt;=1,E6,IF(C15&lt;=3,E7,IF(C15&lt;=6,E8,E9)))/D15</f>
        <v>0.0454166666666667</v>
      </c>
      <c r="F15" s="15" t="n">
        <v>0.17</v>
      </c>
    </row>
    <row r="16" customFormat="false" ht="15" hidden="false" customHeight="false" outlineLevel="0" collapsed="false">
      <c r="A16" s="12" t="s">
        <v>28</v>
      </c>
      <c r="B16" s="7" t="n">
        <v>900</v>
      </c>
      <c r="C16" s="13" t="n">
        <v>2</v>
      </c>
      <c r="D16" s="8" t="n">
        <f aca="false">B16*C16</f>
        <v>1800</v>
      </c>
      <c r="E16" s="14" t="n">
        <f aca="false">IF(C16&lt;=1,E6,IF(C16&lt;=3,E7,IF(C16&lt;=6,E8,E9)))/D16</f>
        <v>0.121111111111111</v>
      </c>
      <c r="F16" s="15" t="n">
        <v>0.17</v>
      </c>
    </row>
    <row r="17" customFormat="false" ht="15" hidden="false" customHeight="false" outlineLevel="0" collapsed="false">
      <c r="A17" s="12" t="s">
        <v>29</v>
      </c>
      <c r="B17" s="7" t="n">
        <v>1300</v>
      </c>
      <c r="C17" s="13" t="n">
        <v>3</v>
      </c>
      <c r="D17" s="8" t="n">
        <f aca="false">B17*C17</f>
        <v>3900</v>
      </c>
      <c r="E17" s="14" t="n">
        <f aca="false">IF(C17&lt;=1,E6,IF(C17&lt;=3,E7,IF(C17&lt;=6,E8,E9)))/D17</f>
        <v>0.0558974358974359</v>
      </c>
      <c r="F17" s="15" t="n">
        <v>0.17</v>
      </c>
    </row>
    <row r="18" customFormat="false" ht="15" hidden="false" customHeight="false" outlineLevel="0" collapsed="false">
      <c r="A18" s="12" t="s">
        <v>30</v>
      </c>
      <c r="B18" s="7" t="n">
        <v>800</v>
      </c>
      <c r="C18" s="13" t="n">
        <v>2</v>
      </c>
      <c r="D18" s="8" t="n">
        <f aca="false">B18*C18</f>
        <v>1600</v>
      </c>
      <c r="E18" s="14" t="n">
        <f aca="false">IF(C18&lt;=1,E6,IF(C18&lt;=3,E7,IF(C18&lt;=6,E8,E9)))/D18</f>
        <v>0.13625</v>
      </c>
      <c r="F18" s="15" t="n">
        <v>0.17</v>
      </c>
    </row>
    <row r="20" customFormat="false" ht="15" hidden="false" customHeight="false" outlineLevel="0" collapsed="false">
      <c r="A20" s="3" t="s">
        <v>31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4" t="s">
        <v>32</v>
      </c>
      <c r="B21" s="4" t="s">
        <v>33</v>
      </c>
      <c r="C21" s="4" t="s">
        <v>34</v>
      </c>
      <c r="D21" s="4" t="s">
        <v>35</v>
      </c>
      <c r="E21" s="4" t="s">
        <v>36</v>
      </c>
      <c r="F21" s="4" t="s">
        <v>8</v>
      </c>
    </row>
    <row r="22" customFormat="false" ht="15" hidden="false" customHeight="false" outlineLevel="0" collapsed="false">
      <c r="A22" s="12" t="s">
        <v>37</v>
      </c>
      <c r="B22" s="16" t="n">
        <v>2</v>
      </c>
      <c r="C22" s="17" t="n">
        <v>8</v>
      </c>
      <c r="D22" s="17" t="n">
        <v>20</v>
      </c>
      <c r="E22" s="17" t="n">
        <v>45</v>
      </c>
      <c r="F22" s="9" t="s">
        <v>38</v>
      </c>
    </row>
    <row r="23" customFormat="false" ht="15" hidden="false" customHeight="false" outlineLevel="0" collapsed="false">
      <c r="A23" s="18" t="s">
        <v>39</v>
      </c>
      <c r="B23" s="13" t="n">
        <v>5</v>
      </c>
      <c r="C23" s="13" t="n">
        <v>20</v>
      </c>
      <c r="D23" s="13" t="n">
        <v>60</v>
      </c>
      <c r="E23" s="13" t="n">
        <v>140</v>
      </c>
      <c r="F23" s="9" t="s">
        <v>40</v>
      </c>
    </row>
    <row r="24" customFormat="false" ht="15" hidden="false" customHeight="false" outlineLevel="0" collapsed="false">
      <c r="A24" s="12" t="s">
        <v>41</v>
      </c>
      <c r="B24" s="17" t="n">
        <v>10</v>
      </c>
      <c r="C24" s="17" t="n">
        <v>40</v>
      </c>
      <c r="D24" s="17" t="n">
        <v>120</v>
      </c>
      <c r="E24" s="17" t="n">
        <v>300</v>
      </c>
      <c r="F24" s="9" t="s">
        <v>42</v>
      </c>
    </row>
    <row r="26" customFormat="false" ht="15" hidden="false" customHeight="false" outlineLevel="0" collapsed="false">
      <c r="A26" s="3" t="s">
        <v>43</v>
      </c>
      <c r="B26" s="3"/>
      <c r="C26" s="3"/>
      <c r="D26" s="3"/>
      <c r="E26" s="3"/>
      <c r="F26" s="3"/>
    </row>
    <row r="27" customFormat="false" ht="15" hidden="false" customHeight="false" outlineLevel="0" collapsed="false">
      <c r="A27" s="4" t="s">
        <v>44</v>
      </c>
      <c r="B27" s="4" t="s">
        <v>45</v>
      </c>
      <c r="C27" s="4" t="s">
        <v>46</v>
      </c>
      <c r="D27" s="4" t="s">
        <v>47</v>
      </c>
      <c r="E27" s="4"/>
      <c r="F27" s="4"/>
    </row>
    <row r="28" customFormat="false" ht="15" hidden="false" customHeight="false" outlineLevel="0" collapsed="false">
      <c r="A28" s="5" t="s">
        <v>9</v>
      </c>
      <c r="B28" s="15" t="n">
        <v>0.15</v>
      </c>
      <c r="C28" s="19" t="n">
        <v>128</v>
      </c>
      <c r="D28" s="8" t="n">
        <f aca="false">B28*C28</f>
        <v>19.2</v>
      </c>
    </row>
    <row r="29" customFormat="false" ht="15" hidden="false" customHeight="false" outlineLevel="0" collapsed="false">
      <c r="A29" s="5" t="s">
        <v>12</v>
      </c>
      <c r="B29" s="15" t="n">
        <v>0.4</v>
      </c>
      <c r="C29" s="19" t="n">
        <v>218</v>
      </c>
      <c r="D29" s="8" t="n">
        <f aca="false">B29*C29</f>
        <v>87.2</v>
      </c>
    </row>
    <row r="30" customFormat="false" ht="15" hidden="false" customHeight="false" outlineLevel="0" collapsed="false">
      <c r="A30" s="5" t="s">
        <v>14</v>
      </c>
      <c r="B30" s="15" t="n">
        <v>0.35</v>
      </c>
      <c r="C30" s="19" t="n">
        <v>288</v>
      </c>
      <c r="D30" s="8" t="n">
        <f aca="false">B30*C30</f>
        <v>100.8</v>
      </c>
    </row>
    <row r="31" customFormat="false" ht="15" hidden="false" customHeight="false" outlineLevel="0" collapsed="false">
      <c r="A31" s="5" t="s">
        <v>16</v>
      </c>
      <c r="B31" s="15" t="n">
        <v>0.1</v>
      </c>
      <c r="C31" s="19" t="n">
        <v>358</v>
      </c>
      <c r="D31" s="8" t="n">
        <f aca="false">B31*C31</f>
        <v>35.8</v>
      </c>
    </row>
    <row r="32" customFormat="false" ht="15" hidden="false" customHeight="false" outlineLevel="0" collapsed="false">
      <c r="A32" s="10" t="s">
        <v>48</v>
      </c>
      <c r="B32" s="10"/>
      <c r="D32" s="11" t="n">
        <f aca="false">SUM(D28:D31)</f>
        <v>243</v>
      </c>
    </row>
    <row r="33" customFormat="false" ht="15" hidden="false" customHeight="false" outlineLevel="0" collapsed="false">
      <c r="A33" s="20" t="s">
        <v>49</v>
      </c>
      <c r="B33" s="20"/>
      <c r="C33" s="14" t="n">
        <f aca="false">SUM(B28:B31)</f>
        <v>1</v>
      </c>
      <c r="D33" s="21" t="str">
        <f aca="false">IF(ABS(C33-1)&lt;0.001,"✓ OK","⚠ CHECK")</f>
        <v>✓ OK</v>
      </c>
    </row>
  </sheetData>
  <mergeCells count="9">
    <mergeCell ref="A1:F1"/>
    <mergeCell ref="A2:F2"/>
    <mergeCell ref="A4:F4"/>
    <mergeCell ref="A10:B10"/>
    <mergeCell ref="A12:F12"/>
    <mergeCell ref="A20:F20"/>
    <mergeCell ref="A26:F26"/>
    <mergeCell ref="A32:B32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4" min="3" style="0" width="18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9" min="8" style="0" width="10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4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59</v>
      </c>
      <c r="I4" s="4" t="s">
        <v>60</v>
      </c>
      <c r="J4" s="4" t="s">
        <v>61</v>
      </c>
    </row>
    <row r="5" customFormat="false" ht="57.45" hidden="false" customHeight="false" outlineLevel="0" collapsed="false">
      <c r="A5" s="18" t="s">
        <v>62</v>
      </c>
      <c r="B5" s="22" t="s">
        <v>63</v>
      </c>
      <c r="C5" s="23" t="s">
        <v>64</v>
      </c>
      <c r="D5" s="24" t="n">
        <v>189</v>
      </c>
      <c r="E5" s="23" t="s">
        <v>64</v>
      </c>
      <c r="F5" s="25" t="n">
        <v>99</v>
      </c>
      <c r="G5" s="25" t="n">
        <f aca="false">D5+F5</f>
        <v>288</v>
      </c>
      <c r="H5" s="26" t="s">
        <v>65</v>
      </c>
      <c r="I5" s="27" t="s">
        <v>66</v>
      </c>
      <c r="J5" s="28" t="s">
        <v>67</v>
      </c>
    </row>
    <row r="6" customFormat="false" ht="46.25" hidden="false" customHeight="false" outlineLevel="0" collapsed="false">
      <c r="A6" s="29" t="s">
        <v>68</v>
      </c>
      <c r="B6" s="29" t="s">
        <v>69</v>
      </c>
      <c r="C6" s="30" t="n">
        <v>0.14</v>
      </c>
      <c r="D6" s="31" t="n">
        <v>588</v>
      </c>
      <c r="E6" s="30" t="n">
        <v>0.03</v>
      </c>
      <c r="F6" s="31" t="n">
        <v>126</v>
      </c>
      <c r="G6" s="31" t="n">
        <f aca="false">D6+F6</f>
        <v>714</v>
      </c>
      <c r="H6" s="32" t="n">
        <f aca="false">D6+F6-$G$5</f>
        <v>426</v>
      </c>
      <c r="I6" s="33" t="s">
        <v>70</v>
      </c>
      <c r="J6" s="34" t="s">
        <v>71</v>
      </c>
    </row>
    <row r="7" customFormat="false" ht="57.45" hidden="false" customHeight="false" outlineLevel="0" collapsed="false">
      <c r="A7" s="5" t="s">
        <v>72</v>
      </c>
      <c r="B7" s="5" t="s">
        <v>69</v>
      </c>
      <c r="C7" s="35" t="n">
        <v>0</v>
      </c>
      <c r="D7" s="19" t="n">
        <v>0</v>
      </c>
      <c r="E7" s="35" t="n">
        <v>0.15</v>
      </c>
      <c r="F7" s="19" t="n">
        <v>630</v>
      </c>
      <c r="G7" s="19" t="n">
        <f aca="false">D7+F7</f>
        <v>630</v>
      </c>
      <c r="H7" s="32" t="n">
        <f aca="false">D7+F7-$G$5</f>
        <v>342</v>
      </c>
      <c r="I7" s="36" t="s">
        <v>73</v>
      </c>
      <c r="J7" s="6" t="s">
        <v>71</v>
      </c>
    </row>
    <row r="8" customFormat="false" ht="46.25" hidden="false" customHeight="false" outlineLevel="0" collapsed="false">
      <c r="A8" s="29" t="s">
        <v>74</v>
      </c>
      <c r="B8" s="29" t="s">
        <v>75</v>
      </c>
      <c r="C8" s="30" t="n">
        <v>0.1</v>
      </c>
      <c r="D8" s="31" t="n">
        <v>420</v>
      </c>
      <c r="E8" s="30" t="n">
        <v>0</v>
      </c>
      <c r="F8" s="31" t="n">
        <v>0</v>
      </c>
      <c r="G8" s="31" t="n">
        <f aca="false">D8+F8</f>
        <v>420</v>
      </c>
      <c r="H8" s="32" t="n">
        <f aca="false">D8+F8-$G$5</f>
        <v>132</v>
      </c>
      <c r="I8" s="33" t="s">
        <v>76</v>
      </c>
      <c r="J8" s="34" t="s">
        <v>67</v>
      </c>
    </row>
    <row r="9" customFormat="false" ht="46.25" hidden="false" customHeight="false" outlineLevel="0" collapsed="false">
      <c r="A9" s="5" t="s">
        <v>77</v>
      </c>
      <c r="B9" s="5" t="s">
        <v>78</v>
      </c>
      <c r="C9" s="35" t="n">
        <v>0.05</v>
      </c>
      <c r="D9" s="19" t="n">
        <v>210</v>
      </c>
      <c r="E9" s="35" t="n">
        <v>0.07</v>
      </c>
      <c r="F9" s="19" t="n">
        <v>294</v>
      </c>
      <c r="G9" s="19" t="n">
        <f aca="false">D9+F9</f>
        <v>504</v>
      </c>
      <c r="H9" s="32" t="n">
        <f aca="false">D9+F9-$G$5</f>
        <v>216</v>
      </c>
      <c r="I9" s="36" t="s">
        <v>79</v>
      </c>
      <c r="J9" s="6" t="s">
        <v>67</v>
      </c>
    </row>
    <row r="10" customFormat="false" ht="35.05" hidden="false" customHeight="false" outlineLevel="0" collapsed="false">
      <c r="A10" s="29" t="s">
        <v>80</v>
      </c>
      <c r="B10" s="29" t="s">
        <v>81</v>
      </c>
      <c r="C10" s="30" t="n">
        <v>0.185</v>
      </c>
      <c r="D10" s="31" t="n">
        <v>777</v>
      </c>
      <c r="E10" s="30" t="n">
        <v>0</v>
      </c>
      <c r="F10" s="31" t="n">
        <v>0</v>
      </c>
      <c r="G10" s="31" t="n">
        <f aca="false">D10+F10</f>
        <v>777</v>
      </c>
      <c r="H10" s="32" t="n">
        <f aca="false">D10+F10-$G$5</f>
        <v>489</v>
      </c>
      <c r="I10" s="33" t="s">
        <v>82</v>
      </c>
      <c r="J10" s="34" t="s">
        <v>83</v>
      </c>
    </row>
    <row r="11" customFormat="false" ht="46.25" hidden="false" customHeight="false" outlineLevel="0" collapsed="false">
      <c r="A11" s="5" t="s">
        <v>84</v>
      </c>
      <c r="B11" s="5" t="s">
        <v>78</v>
      </c>
      <c r="C11" s="35" t="n">
        <v>0.05</v>
      </c>
      <c r="D11" s="19" t="n">
        <v>210</v>
      </c>
      <c r="E11" s="35" t="n">
        <v>0.05</v>
      </c>
      <c r="F11" s="19" t="n">
        <v>210</v>
      </c>
      <c r="G11" s="19" t="n">
        <f aca="false">D11+F11</f>
        <v>420</v>
      </c>
      <c r="H11" s="32" t="n">
        <f aca="false">D11+F11-$G$5</f>
        <v>132</v>
      </c>
      <c r="I11" s="36" t="s">
        <v>85</v>
      </c>
      <c r="J11" s="6" t="s">
        <v>67</v>
      </c>
    </row>
    <row r="12" customFormat="false" ht="57.45" hidden="false" customHeight="false" outlineLevel="0" collapsed="false">
      <c r="A12" s="29" t="s">
        <v>86</v>
      </c>
      <c r="B12" s="29" t="s">
        <v>87</v>
      </c>
      <c r="C12" s="30" t="n">
        <v>0</v>
      </c>
      <c r="D12" s="31" t="n">
        <v>0</v>
      </c>
      <c r="E12" s="30" t="n">
        <v>0.08</v>
      </c>
      <c r="F12" s="31" t="n">
        <v>336</v>
      </c>
      <c r="G12" s="31" t="n">
        <f aca="false">D12+F12</f>
        <v>336</v>
      </c>
      <c r="H12" s="32" t="n">
        <f aca="false">D12+F12-$G$5</f>
        <v>48</v>
      </c>
      <c r="I12" s="33" t="s">
        <v>88</v>
      </c>
      <c r="J12" s="34" t="s">
        <v>89</v>
      </c>
    </row>
    <row r="13" customFormat="false" ht="23.85" hidden="false" customHeight="false" outlineLevel="0" collapsed="false">
      <c r="A13" s="5" t="s">
        <v>90</v>
      </c>
      <c r="B13" s="5" t="s">
        <v>91</v>
      </c>
      <c r="C13" s="35" t="n">
        <v>0.09</v>
      </c>
      <c r="D13" s="19" t="n">
        <v>378</v>
      </c>
      <c r="E13" s="35" t="n">
        <v>0.04</v>
      </c>
      <c r="F13" s="19" t="n">
        <v>168</v>
      </c>
      <c r="G13" s="19" t="n">
        <f aca="false">D13+F13</f>
        <v>546</v>
      </c>
      <c r="H13" s="32" t="n">
        <f aca="false">D13+F13-$G$5</f>
        <v>258</v>
      </c>
      <c r="I13" s="36" t="s">
        <v>92</v>
      </c>
      <c r="J13" s="6" t="s">
        <v>67</v>
      </c>
    </row>
    <row r="14" customFormat="false" ht="15" hidden="false" customHeight="false" outlineLevel="0" collapsed="false">
      <c r="A14" s="37" t="s">
        <v>93</v>
      </c>
      <c r="B14" s="37"/>
      <c r="C14" s="37"/>
      <c r="D14" s="37"/>
      <c r="E14" s="37"/>
      <c r="F14" s="37"/>
      <c r="G14" s="37"/>
      <c r="H14" s="37"/>
      <c r="I14" s="37"/>
      <c r="J14" s="37"/>
    </row>
    <row r="15" customFormat="false" ht="24.75" hidden="false" customHeight="true" outlineLevel="0" collapsed="false">
      <c r="A15" s="38" t="s">
        <v>94</v>
      </c>
      <c r="B15" s="38"/>
      <c r="C15" s="38"/>
      <c r="D15" s="38"/>
      <c r="E15" s="38"/>
      <c r="F15" s="38"/>
      <c r="G15" s="38"/>
      <c r="H15" s="38"/>
      <c r="I15" s="38"/>
      <c r="J15" s="38"/>
    </row>
    <row r="17" customFormat="false" ht="15" hidden="false" customHeight="false" outlineLevel="0" collapsed="false">
      <c r="A17" s="3" t="s">
        <v>95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4" t="s">
        <v>96</v>
      </c>
      <c r="B18" s="4" t="s">
        <v>97</v>
      </c>
      <c r="C18" s="4" t="s">
        <v>68</v>
      </c>
      <c r="D18" s="4" t="s">
        <v>74</v>
      </c>
      <c r="E18" s="4" t="s">
        <v>80</v>
      </c>
      <c r="F18" s="4" t="s">
        <v>84</v>
      </c>
      <c r="G18" s="4" t="s">
        <v>77</v>
      </c>
      <c r="H18" s="4"/>
      <c r="I18" s="4"/>
      <c r="J18" s="4"/>
    </row>
    <row r="19" customFormat="false" ht="15" hidden="false" customHeight="false" outlineLevel="0" collapsed="false">
      <c r="A19" s="5" t="s">
        <v>98</v>
      </c>
      <c r="B19" s="39" t="s">
        <v>99</v>
      </c>
      <c r="C19" s="5" t="s">
        <v>100</v>
      </c>
      <c r="D19" s="5" t="s">
        <v>101</v>
      </c>
      <c r="E19" s="5" t="s">
        <v>101</v>
      </c>
      <c r="F19" s="5" t="s">
        <v>100</v>
      </c>
      <c r="G19" s="5" t="s">
        <v>100</v>
      </c>
    </row>
    <row r="20" customFormat="false" ht="15" hidden="false" customHeight="false" outlineLevel="0" collapsed="false">
      <c r="A20" s="29" t="s">
        <v>102</v>
      </c>
      <c r="B20" s="39" t="s">
        <v>103</v>
      </c>
      <c r="C20" s="29" t="s">
        <v>104</v>
      </c>
      <c r="D20" s="29" t="s">
        <v>105</v>
      </c>
      <c r="E20" s="29" t="s">
        <v>105</v>
      </c>
      <c r="F20" s="29" t="s">
        <v>105</v>
      </c>
      <c r="G20" s="29" t="s">
        <v>105</v>
      </c>
    </row>
    <row r="21" customFormat="false" ht="15" hidden="false" customHeight="false" outlineLevel="0" collapsed="false">
      <c r="A21" s="5" t="s">
        <v>106</v>
      </c>
      <c r="B21" s="39" t="s">
        <v>107</v>
      </c>
      <c r="C21" s="5" t="s">
        <v>108</v>
      </c>
      <c r="D21" s="5" t="s">
        <v>108</v>
      </c>
      <c r="E21" s="5" t="s">
        <v>108</v>
      </c>
      <c r="F21" s="5" t="s">
        <v>108</v>
      </c>
      <c r="G21" s="5" t="s">
        <v>108</v>
      </c>
    </row>
    <row r="22" customFormat="false" ht="15" hidden="false" customHeight="false" outlineLevel="0" collapsed="false">
      <c r="A22" s="29" t="s">
        <v>109</v>
      </c>
      <c r="B22" s="39" t="s">
        <v>110</v>
      </c>
      <c r="C22" s="29" t="s">
        <v>111</v>
      </c>
      <c r="D22" s="29" t="s">
        <v>112</v>
      </c>
      <c r="E22" s="29" t="s">
        <v>112</v>
      </c>
      <c r="F22" s="29" t="s">
        <v>112</v>
      </c>
      <c r="G22" s="29" t="s">
        <v>112</v>
      </c>
    </row>
    <row r="23" customFormat="false" ht="15" hidden="false" customHeight="false" outlineLevel="0" collapsed="false">
      <c r="A23" s="5" t="s">
        <v>113</v>
      </c>
      <c r="B23" s="39" t="s">
        <v>114</v>
      </c>
      <c r="C23" s="5" t="s">
        <v>108</v>
      </c>
      <c r="D23" s="5" t="s">
        <v>108</v>
      </c>
      <c r="E23" s="5" t="s">
        <v>108</v>
      </c>
      <c r="F23" s="5" t="s">
        <v>108</v>
      </c>
      <c r="G23" s="5" t="s">
        <v>108</v>
      </c>
    </row>
    <row r="24" customFormat="false" ht="15" hidden="false" customHeight="false" outlineLevel="0" collapsed="false">
      <c r="A24" s="29" t="s">
        <v>115</v>
      </c>
      <c r="B24" s="39" t="s">
        <v>116</v>
      </c>
      <c r="C24" s="29" t="s">
        <v>117</v>
      </c>
      <c r="D24" s="29" t="s">
        <v>117</v>
      </c>
      <c r="E24" s="29" t="s">
        <v>117</v>
      </c>
      <c r="F24" s="29" t="s">
        <v>118</v>
      </c>
      <c r="G24" s="29" t="s">
        <v>118</v>
      </c>
    </row>
  </sheetData>
  <mergeCells count="5">
    <mergeCell ref="A1:J1"/>
    <mergeCell ref="A2:J2"/>
    <mergeCell ref="A14:J14"/>
    <mergeCell ref="A15:J15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121</v>
      </c>
      <c r="B4" s="3"/>
      <c r="C4" s="3"/>
      <c r="D4" s="3"/>
    </row>
    <row r="5" customFormat="false" ht="15" hidden="false" customHeight="false" outlineLevel="0" collapsed="false">
      <c r="A5" s="5" t="s">
        <v>122</v>
      </c>
      <c r="B5" s="40" t="n">
        <f aca="false">Assumptions!D32</f>
        <v>243</v>
      </c>
    </row>
    <row r="6" customFormat="false" ht="15" hidden="false" customHeight="false" outlineLevel="0" collapsed="false">
      <c r="A6" s="5" t="s">
        <v>123</v>
      </c>
      <c r="B6" s="41" t="n">
        <f aca="false">Assumptions!B22</f>
        <v>2</v>
      </c>
    </row>
    <row r="7" customFormat="false" ht="15" hidden="false" customHeight="false" outlineLevel="0" collapsed="false">
      <c r="A7" s="5" t="s">
        <v>124</v>
      </c>
      <c r="B7" s="41" t="n">
        <f aca="false">Assumptions!C22</f>
        <v>8</v>
      </c>
    </row>
    <row r="8" customFormat="false" ht="15" hidden="false" customHeight="false" outlineLevel="0" collapsed="false">
      <c r="A8" s="5" t="s">
        <v>125</v>
      </c>
      <c r="B8" s="41" t="n">
        <f aca="false">Assumptions!D22</f>
        <v>20</v>
      </c>
    </row>
    <row r="9" customFormat="false" ht="15" hidden="false" customHeight="false" outlineLevel="0" collapsed="false">
      <c r="A9" s="5" t="s">
        <v>126</v>
      </c>
      <c r="B9" s="41" t="n">
        <f aca="false">Assumptions!E22</f>
        <v>45</v>
      </c>
    </row>
    <row r="10" customFormat="false" ht="15" hidden="false" customHeight="false" outlineLevel="0" collapsed="false">
      <c r="A10" s="5" t="s">
        <v>127</v>
      </c>
      <c r="B10" s="41" t="n">
        <f aca="false">Assumptions!B23</f>
        <v>5</v>
      </c>
    </row>
    <row r="11" customFormat="false" ht="15" hidden="false" customHeight="false" outlineLevel="0" collapsed="false">
      <c r="A11" s="5" t="s">
        <v>128</v>
      </c>
      <c r="B11" s="41" t="n">
        <f aca="false">Assumptions!C23</f>
        <v>20</v>
      </c>
    </row>
    <row r="12" customFormat="false" ht="15" hidden="false" customHeight="false" outlineLevel="0" collapsed="false">
      <c r="A12" s="5" t="s">
        <v>129</v>
      </c>
      <c r="B12" s="41" t="n">
        <f aca="false">Assumptions!D23</f>
        <v>60</v>
      </c>
    </row>
    <row r="13" customFormat="false" ht="15" hidden="false" customHeight="false" outlineLevel="0" collapsed="false">
      <c r="A13" s="5" t="s">
        <v>130</v>
      </c>
      <c r="B13" s="41" t="n">
        <f aca="false">Assumptions!E23</f>
        <v>140</v>
      </c>
    </row>
    <row r="14" customFormat="false" ht="15" hidden="false" customHeight="false" outlineLevel="0" collapsed="false">
      <c r="A14" s="5" t="s">
        <v>131</v>
      </c>
      <c r="B14" s="41" t="n">
        <f aca="false">Assumptions!B24</f>
        <v>10</v>
      </c>
    </row>
    <row r="15" customFormat="false" ht="15" hidden="false" customHeight="false" outlineLevel="0" collapsed="false">
      <c r="A15" s="5" t="s">
        <v>132</v>
      </c>
      <c r="B15" s="41" t="n">
        <f aca="false">Assumptions!C24</f>
        <v>40</v>
      </c>
    </row>
    <row r="16" customFormat="false" ht="15" hidden="false" customHeight="false" outlineLevel="0" collapsed="false">
      <c r="A16" s="5" t="s">
        <v>133</v>
      </c>
      <c r="B16" s="41" t="n">
        <f aca="false">Assumptions!D24</f>
        <v>120</v>
      </c>
    </row>
    <row r="17" customFormat="false" ht="15" hidden="false" customHeight="false" outlineLevel="0" collapsed="false">
      <c r="A17" s="5" t="s">
        <v>134</v>
      </c>
      <c r="B17" s="41" t="n">
        <f aca="false">Assumptions!E24</f>
        <v>300</v>
      </c>
    </row>
    <row r="20" customFormat="false" ht="30" hidden="false" customHeight="true" outlineLevel="0" collapsed="false">
      <c r="A20" s="4" t="s">
        <v>135</v>
      </c>
      <c r="B20" s="42" t="s">
        <v>136</v>
      </c>
      <c r="C20" s="42" t="s">
        <v>137</v>
      </c>
      <c r="D20" s="43" t="s">
        <v>138</v>
      </c>
      <c r="E20" s="43" t="s">
        <v>139</v>
      </c>
      <c r="F20" s="44" t="s">
        <v>140</v>
      </c>
      <c r="G20" s="44" t="s">
        <v>141</v>
      </c>
    </row>
    <row r="21" customFormat="false" ht="15" hidden="false" customHeight="false" outlineLevel="0" collapsed="false">
      <c r="A21" s="6" t="s">
        <v>142</v>
      </c>
      <c r="B21" s="45" t="n">
        <f aca="false">MAX(0,ROUND($B$6+($B$7-$B$6)*0/11,0))</f>
        <v>2</v>
      </c>
      <c r="C21" s="19" t="n">
        <f aca="false">B21*$B$5</f>
        <v>486</v>
      </c>
      <c r="D21" s="46" t="n">
        <f aca="false">MAX(0,ROUND($B$10+($B$11-$B$10)*0/11,0))</f>
        <v>5</v>
      </c>
      <c r="E21" s="25" t="n">
        <f aca="false">D21*$B$5</f>
        <v>1215</v>
      </c>
      <c r="F21" s="47" t="n">
        <f aca="false">MAX(0,ROUND($B$14+($B$15-$B$14)*0/11,0))</f>
        <v>10</v>
      </c>
      <c r="G21" s="48" t="n">
        <f aca="false">F21*$B$5</f>
        <v>2430</v>
      </c>
    </row>
    <row r="22" customFormat="false" ht="15" hidden="false" customHeight="false" outlineLevel="0" collapsed="false">
      <c r="A22" s="34" t="s">
        <v>143</v>
      </c>
      <c r="B22" s="45" t="n">
        <f aca="false">MAX(0,ROUND($B$6+($B$7-$B$6)*1/11,0))</f>
        <v>3</v>
      </c>
      <c r="C22" s="19" t="n">
        <f aca="false">B22*$B$5</f>
        <v>729</v>
      </c>
      <c r="D22" s="46" t="n">
        <f aca="false">MAX(0,ROUND($B$10+($B$11-$B$10)*1/11,0))</f>
        <v>6</v>
      </c>
      <c r="E22" s="25" t="n">
        <f aca="false">D22*$B$5</f>
        <v>1458</v>
      </c>
      <c r="F22" s="47" t="n">
        <f aca="false">MAX(0,ROUND($B$14+($B$15-$B$14)*1/11,0))</f>
        <v>13</v>
      </c>
      <c r="G22" s="48" t="n">
        <f aca="false">F22*$B$5</f>
        <v>3159</v>
      </c>
    </row>
    <row r="23" customFormat="false" ht="15" hidden="false" customHeight="false" outlineLevel="0" collapsed="false">
      <c r="A23" s="6" t="s">
        <v>144</v>
      </c>
      <c r="B23" s="45" t="n">
        <f aca="false">MAX(0,ROUND($B$6+($B$7-$B$6)*2/11,0))</f>
        <v>3</v>
      </c>
      <c r="C23" s="19" t="n">
        <f aca="false">B23*$B$5</f>
        <v>729</v>
      </c>
      <c r="D23" s="46" t="n">
        <f aca="false">MAX(0,ROUND($B$10+($B$11-$B$10)*2/11,0))</f>
        <v>8</v>
      </c>
      <c r="E23" s="25" t="n">
        <f aca="false">D23*$B$5</f>
        <v>1944</v>
      </c>
      <c r="F23" s="47" t="n">
        <f aca="false">MAX(0,ROUND($B$14+($B$15-$B$14)*2/11,0))</f>
        <v>15</v>
      </c>
      <c r="G23" s="48" t="n">
        <f aca="false">F23*$B$5</f>
        <v>3645</v>
      </c>
    </row>
    <row r="24" customFormat="false" ht="15" hidden="false" customHeight="false" outlineLevel="0" collapsed="false">
      <c r="A24" s="34" t="s">
        <v>145</v>
      </c>
      <c r="B24" s="45" t="n">
        <f aca="false">MAX(0,ROUND($B$6+($B$7-$B$6)*3/11,0))</f>
        <v>4</v>
      </c>
      <c r="C24" s="19" t="n">
        <f aca="false">B24*$B$5</f>
        <v>972</v>
      </c>
      <c r="D24" s="46" t="n">
        <f aca="false">MAX(0,ROUND($B$10+($B$11-$B$10)*3/11,0))</f>
        <v>9</v>
      </c>
      <c r="E24" s="25" t="n">
        <f aca="false">D24*$B$5</f>
        <v>2187</v>
      </c>
      <c r="F24" s="47" t="n">
        <f aca="false">MAX(0,ROUND($B$14+($B$15-$B$14)*3/11,0))</f>
        <v>18</v>
      </c>
      <c r="G24" s="48" t="n">
        <f aca="false">F24*$B$5</f>
        <v>4374</v>
      </c>
    </row>
    <row r="25" customFormat="false" ht="15" hidden="false" customHeight="false" outlineLevel="0" collapsed="false">
      <c r="A25" s="6" t="s">
        <v>146</v>
      </c>
      <c r="B25" s="45" t="n">
        <f aca="false">MAX(0,ROUND($B$6+($B$7-$B$6)*4/11,0))</f>
        <v>4</v>
      </c>
      <c r="C25" s="19" t="n">
        <f aca="false">B25*$B$5</f>
        <v>972</v>
      </c>
      <c r="D25" s="46" t="n">
        <f aca="false">MAX(0,ROUND($B$10+($B$11-$B$10)*4/11,0))</f>
        <v>10</v>
      </c>
      <c r="E25" s="25" t="n">
        <f aca="false">D25*$B$5</f>
        <v>2430</v>
      </c>
      <c r="F25" s="47" t="n">
        <f aca="false">MAX(0,ROUND($B$14+($B$15-$B$14)*4/11,0))</f>
        <v>21</v>
      </c>
      <c r="G25" s="48" t="n">
        <f aca="false">F25*$B$5</f>
        <v>5103</v>
      </c>
    </row>
    <row r="26" customFormat="false" ht="15" hidden="false" customHeight="false" outlineLevel="0" collapsed="false">
      <c r="A26" s="34" t="s">
        <v>147</v>
      </c>
      <c r="B26" s="45" t="n">
        <f aca="false">MAX(0,ROUND($B$6+($B$7-$B$6)*5/11,0))</f>
        <v>5</v>
      </c>
      <c r="C26" s="19" t="n">
        <f aca="false">B26*$B$5</f>
        <v>1215</v>
      </c>
      <c r="D26" s="46" t="n">
        <f aca="false">MAX(0,ROUND($B$10+($B$11-$B$10)*5/11,0))</f>
        <v>12</v>
      </c>
      <c r="E26" s="25" t="n">
        <f aca="false">D26*$B$5</f>
        <v>2916</v>
      </c>
      <c r="F26" s="47" t="n">
        <f aca="false">MAX(0,ROUND($B$14+($B$15-$B$14)*5/11,0))</f>
        <v>24</v>
      </c>
      <c r="G26" s="48" t="n">
        <f aca="false">F26*$B$5</f>
        <v>5832</v>
      </c>
    </row>
    <row r="27" customFormat="false" ht="15" hidden="false" customHeight="false" outlineLevel="0" collapsed="false">
      <c r="A27" s="6" t="s">
        <v>148</v>
      </c>
      <c r="B27" s="45" t="n">
        <f aca="false">MAX(0,ROUND($B$6+($B$7-$B$6)*6/11,0))</f>
        <v>5</v>
      </c>
      <c r="C27" s="19" t="n">
        <f aca="false">B27*$B$5</f>
        <v>1215</v>
      </c>
      <c r="D27" s="46" t="n">
        <f aca="false">MAX(0,ROUND($B$10+($B$11-$B$10)*6/11,0))</f>
        <v>13</v>
      </c>
      <c r="E27" s="25" t="n">
        <f aca="false">D27*$B$5</f>
        <v>3159</v>
      </c>
      <c r="F27" s="47" t="n">
        <f aca="false">MAX(0,ROUND($B$14+($B$15-$B$14)*6/11,0))</f>
        <v>26</v>
      </c>
      <c r="G27" s="48" t="n">
        <f aca="false">F27*$B$5</f>
        <v>6318</v>
      </c>
    </row>
    <row r="28" customFormat="false" ht="15" hidden="false" customHeight="false" outlineLevel="0" collapsed="false">
      <c r="A28" s="34" t="s">
        <v>149</v>
      </c>
      <c r="B28" s="45" t="n">
        <f aca="false">MAX(0,ROUND($B$6+($B$7-$B$6)*7/11,0))</f>
        <v>6</v>
      </c>
      <c r="C28" s="19" t="n">
        <f aca="false">B28*$B$5</f>
        <v>1458</v>
      </c>
      <c r="D28" s="46" t="n">
        <f aca="false">MAX(0,ROUND($B$10+($B$11-$B$10)*7/11,0))</f>
        <v>15</v>
      </c>
      <c r="E28" s="25" t="n">
        <f aca="false">D28*$B$5</f>
        <v>3645</v>
      </c>
      <c r="F28" s="47" t="n">
        <f aca="false">MAX(0,ROUND($B$14+($B$15-$B$14)*7/11,0))</f>
        <v>29</v>
      </c>
      <c r="G28" s="48" t="n">
        <f aca="false">F28*$B$5</f>
        <v>7047</v>
      </c>
    </row>
    <row r="29" customFormat="false" ht="15" hidden="false" customHeight="false" outlineLevel="0" collapsed="false">
      <c r="A29" s="6" t="s">
        <v>150</v>
      </c>
      <c r="B29" s="45" t="n">
        <f aca="false">MAX(0,ROUND($B$6+($B$7-$B$6)*8/11,0))</f>
        <v>6</v>
      </c>
      <c r="C29" s="19" t="n">
        <f aca="false">B29*$B$5</f>
        <v>1458</v>
      </c>
      <c r="D29" s="46" t="n">
        <f aca="false">MAX(0,ROUND($B$10+($B$11-$B$10)*8/11,0))</f>
        <v>16</v>
      </c>
      <c r="E29" s="25" t="n">
        <f aca="false">D29*$B$5</f>
        <v>3888</v>
      </c>
      <c r="F29" s="47" t="n">
        <f aca="false">MAX(0,ROUND($B$14+($B$15-$B$14)*8/11,0))</f>
        <v>32</v>
      </c>
      <c r="G29" s="48" t="n">
        <f aca="false">F29*$B$5</f>
        <v>7776</v>
      </c>
    </row>
    <row r="30" customFormat="false" ht="15" hidden="false" customHeight="false" outlineLevel="0" collapsed="false">
      <c r="A30" s="34" t="s">
        <v>151</v>
      </c>
      <c r="B30" s="45" t="n">
        <f aca="false">MAX(0,ROUND($B$6+($B$7-$B$6)*9/11,0))</f>
        <v>7</v>
      </c>
      <c r="C30" s="19" t="n">
        <f aca="false">B30*$B$5</f>
        <v>1701</v>
      </c>
      <c r="D30" s="46" t="n">
        <f aca="false">MAX(0,ROUND($B$10+($B$11-$B$10)*9/11,0))</f>
        <v>17</v>
      </c>
      <c r="E30" s="25" t="n">
        <f aca="false">D30*$B$5</f>
        <v>4131</v>
      </c>
      <c r="F30" s="47" t="n">
        <f aca="false">MAX(0,ROUND($B$14+($B$15-$B$14)*9/11,0))</f>
        <v>35</v>
      </c>
      <c r="G30" s="48" t="n">
        <f aca="false">F30*$B$5</f>
        <v>8505</v>
      </c>
    </row>
    <row r="31" customFormat="false" ht="15" hidden="false" customHeight="false" outlineLevel="0" collapsed="false">
      <c r="A31" s="6" t="s">
        <v>152</v>
      </c>
      <c r="B31" s="45" t="n">
        <f aca="false">MAX(0,ROUND($B$6+($B$7-$B$6)*10/11,0))</f>
        <v>7</v>
      </c>
      <c r="C31" s="19" t="n">
        <f aca="false">B31*$B$5</f>
        <v>1701</v>
      </c>
      <c r="D31" s="46" t="n">
        <f aca="false">MAX(0,ROUND($B$10+($B$11-$B$10)*10/11,0))</f>
        <v>19</v>
      </c>
      <c r="E31" s="25" t="n">
        <f aca="false">D31*$B$5</f>
        <v>4617</v>
      </c>
      <c r="F31" s="47" t="n">
        <f aca="false">MAX(0,ROUND($B$14+($B$15-$B$14)*10/11,0))</f>
        <v>37</v>
      </c>
      <c r="G31" s="48" t="n">
        <f aca="false">F31*$B$5</f>
        <v>8991</v>
      </c>
    </row>
    <row r="32" customFormat="false" ht="15" hidden="false" customHeight="false" outlineLevel="0" collapsed="false">
      <c r="A32" s="34" t="s">
        <v>153</v>
      </c>
      <c r="B32" s="45" t="n">
        <f aca="false">MAX(0,ROUND($B$6+($B$7-$B$6)*11/11,0))</f>
        <v>8</v>
      </c>
      <c r="C32" s="19" t="n">
        <f aca="false">B32*$B$5</f>
        <v>1944</v>
      </c>
      <c r="D32" s="46" t="n">
        <f aca="false">MAX(0,ROUND($B$10+($B$11-$B$10)*11/11,0))</f>
        <v>20</v>
      </c>
      <c r="E32" s="25" t="n">
        <f aca="false">D32*$B$5</f>
        <v>4860</v>
      </c>
      <c r="F32" s="47" t="n">
        <f aca="false">MAX(0,ROUND($B$14+($B$15-$B$14)*11/11,0))</f>
        <v>40</v>
      </c>
      <c r="G32" s="48" t="n">
        <f aca="false">F32*$B$5</f>
        <v>9720</v>
      </c>
    </row>
    <row r="33" customFormat="false" ht="15" hidden="false" customHeight="false" outlineLevel="0" collapsed="false">
      <c r="A33" s="6" t="s">
        <v>154</v>
      </c>
      <c r="B33" s="45" t="n">
        <f aca="false">MAX(0,ROUND($B$7+($B$8-$B$7)*0/11,0))</f>
        <v>8</v>
      </c>
      <c r="C33" s="19" t="n">
        <f aca="false">B33*$B$5</f>
        <v>1944</v>
      </c>
      <c r="D33" s="46" t="n">
        <f aca="false">MAX(0,ROUND($B$11+($B$12-$B$11)*0/11,0))</f>
        <v>20</v>
      </c>
      <c r="E33" s="25" t="n">
        <f aca="false">D33*$B$5</f>
        <v>4860</v>
      </c>
      <c r="F33" s="47" t="n">
        <f aca="false">MAX(0,ROUND($B$15+($B$16-$B$15)*0/11,0))</f>
        <v>40</v>
      </c>
      <c r="G33" s="48" t="n">
        <f aca="false">F33*$B$5</f>
        <v>9720</v>
      </c>
    </row>
    <row r="34" customFormat="false" ht="15" hidden="false" customHeight="false" outlineLevel="0" collapsed="false">
      <c r="A34" s="34" t="s">
        <v>155</v>
      </c>
      <c r="B34" s="45" t="n">
        <f aca="false">MAX(0,ROUND($B$7+($B$8-$B$7)*1/11,0))</f>
        <v>9</v>
      </c>
      <c r="C34" s="19" t="n">
        <f aca="false">B34*$B$5</f>
        <v>2187</v>
      </c>
      <c r="D34" s="46" t="n">
        <f aca="false">MAX(0,ROUND($B$11+($B$12-$B$11)*1/11,0))</f>
        <v>24</v>
      </c>
      <c r="E34" s="25" t="n">
        <f aca="false">D34*$B$5</f>
        <v>5832</v>
      </c>
      <c r="F34" s="47" t="n">
        <f aca="false">MAX(0,ROUND($B$15+($B$16-$B$15)*1/11,0))</f>
        <v>47</v>
      </c>
      <c r="G34" s="48" t="n">
        <f aca="false">F34*$B$5</f>
        <v>11421</v>
      </c>
    </row>
    <row r="35" customFormat="false" ht="15" hidden="false" customHeight="false" outlineLevel="0" collapsed="false">
      <c r="A35" s="6" t="s">
        <v>156</v>
      </c>
      <c r="B35" s="45" t="n">
        <f aca="false">MAX(0,ROUND($B$7+($B$8-$B$7)*2/11,0))</f>
        <v>10</v>
      </c>
      <c r="C35" s="19" t="n">
        <f aca="false">B35*$B$5</f>
        <v>2430</v>
      </c>
      <c r="D35" s="46" t="n">
        <f aca="false">MAX(0,ROUND($B$11+($B$12-$B$11)*2/11,0))</f>
        <v>27</v>
      </c>
      <c r="E35" s="25" t="n">
        <f aca="false">D35*$B$5</f>
        <v>6561</v>
      </c>
      <c r="F35" s="47" t="n">
        <f aca="false">MAX(0,ROUND($B$15+($B$16-$B$15)*2/11,0))</f>
        <v>55</v>
      </c>
      <c r="G35" s="48" t="n">
        <f aca="false">F35*$B$5</f>
        <v>13365</v>
      </c>
    </row>
    <row r="36" customFormat="false" ht="15" hidden="false" customHeight="false" outlineLevel="0" collapsed="false">
      <c r="A36" s="34" t="s">
        <v>157</v>
      </c>
      <c r="B36" s="45" t="n">
        <f aca="false">MAX(0,ROUND($B$7+($B$8-$B$7)*3/11,0))</f>
        <v>11</v>
      </c>
      <c r="C36" s="19" t="n">
        <f aca="false">B36*$B$5</f>
        <v>2673</v>
      </c>
      <c r="D36" s="46" t="n">
        <f aca="false">MAX(0,ROUND($B$11+($B$12-$B$11)*3/11,0))</f>
        <v>31</v>
      </c>
      <c r="E36" s="25" t="n">
        <f aca="false">D36*$B$5</f>
        <v>7533</v>
      </c>
      <c r="F36" s="47" t="n">
        <f aca="false">MAX(0,ROUND($B$15+($B$16-$B$15)*3/11,0))</f>
        <v>62</v>
      </c>
      <c r="G36" s="48" t="n">
        <f aca="false">F36*$B$5</f>
        <v>15066</v>
      </c>
    </row>
    <row r="37" customFormat="false" ht="15" hidden="false" customHeight="false" outlineLevel="0" collapsed="false">
      <c r="A37" s="6" t="s">
        <v>158</v>
      </c>
      <c r="B37" s="45" t="n">
        <f aca="false">MAX(0,ROUND($B$7+($B$8-$B$7)*4/11,0))</f>
        <v>12</v>
      </c>
      <c r="C37" s="19" t="n">
        <f aca="false">B37*$B$5</f>
        <v>2916</v>
      </c>
      <c r="D37" s="46" t="n">
        <f aca="false">MAX(0,ROUND($B$11+($B$12-$B$11)*4/11,0))</f>
        <v>35</v>
      </c>
      <c r="E37" s="25" t="n">
        <f aca="false">D37*$B$5</f>
        <v>8505</v>
      </c>
      <c r="F37" s="47" t="n">
        <f aca="false">MAX(0,ROUND($B$15+($B$16-$B$15)*4/11,0))</f>
        <v>69</v>
      </c>
      <c r="G37" s="48" t="n">
        <f aca="false">F37*$B$5</f>
        <v>16767</v>
      </c>
    </row>
    <row r="38" customFormat="false" ht="15" hidden="false" customHeight="false" outlineLevel="0" collapsed="false">
      <c r="A38" s="34" t="s">
        <v>159</v>
      </c>
      <c r="B38" s="45" t="n">
        <f aca="false">MAX(0,ROUND($B$7+($B$8-$B$7)*5/11,0))</f>
        <v>13</v>
      </c>
      <c r="C38" s="19" t="n">
        <f aca="false">B38*$B$5</f>
        <v>3159</v>
      </c>
      <c r="D38" s="46" t="n">
        <f aca="false">MAX(0,ROUND($B$11+($B$12-$B$11)*5/11,0))</f>
        <v>38</v>
      </c>
      <c r="E38" s="25" t="n">
        <f aca="false">D38*$B$5</f>
        <v>9234</v>
      </c>
      <c r="F38" s="47" t="n">
        <f aca="false">MAX(0,ROUND($B$15+($B$16-$B$15)*5/11,0))</f>
        <v>76</v>
      </c>
      <c r="G38" s="48" t="n">
        <f aca="false">F38*$B$5</f>
        <v>18468</v>
      </c>
    </row>
    <row r="39" customFormat="false" ht="15" hidden="false" customHeight="false" outlineLevel="0" collapsed="false">
      <c r="A39" s="6" t="s">
        <v>160</v>
      </c>
      <c r="B39" s="45" t="n">
        <f aca="false">MAX(0,ROUND($B$7+($B$8-$B$7)*6/11,0))</f>
        <v>15</v>
      </c>
      <c r="C39" s="19" t="n">
        <f aca="false">B39*$B$5</f>
        <v>3645</v>
      </c>
      <c r="D39" s="46" t="n">
        <f aca="false">MAX(0,ROUND($B$11+($B$12-$B$11)*6/11,0))</f>
        <v>42</v>
      </c>
      <c r="E39" s="25" t="n">
        <f aca="false">D39*$B$5</f>
        <v>10206</v>
      </c>
      <c r="F39" s="47" t="n">
        <f aca="false">MAX(0,ROUND($B$15+($B$16-$B$15)*6/11,0))</f>
        <v>84</v>
      </c>
      <c r="G39" s="48" t="n">
        <f aca="false">F39*$B$5</f>
        <v>20412</v>
      </c>
    </row>
    <row r="40" customFormat="false" ht="15" hidden="false" customHeight="false" outlineLevel="0" collapsed="false">
      <c r="A40" s="34" t="s">
        <v>161</v>
      </c>
      <c r="B40" s="45" t="n">
        <f aca="false">MAX(0,ROUND($B$7+($B$8-$B$7)*7/11,0))</f>
        <v>16</v>
      </c>
      <c r="C40" s="19" t="n">
        <f aca="false">B40*$B$5</f>
        <v>3888</v>
      </c>
      <c r="D40" s="46" t="n">
        <f aca="false">MAX(0,ROUND($B$11+($B$12-$B$11)*7/11,0))</f>
        <v>45</v>
      </c>
      <c r="E40" s="25" t="n">
        <f aca="false">D40*$B$5</f>
        <v>10935</v>
      </c>
      <c r="F40" s="47" t="n">
        <f aca="false">MAX(0,ROUND($B$15+($B$16-$B$15)*7/11,0))</f>
        <v>91</v>
      </c>
      <c r="G40" s="48" t="n">
        <f aca="false">F40*$B$5</f>
        <v>22113</v>
      </c>
    </row>
    <row r="41" customFormat="false" ht="15" hidden="false" customHeight="false" outlineLevel="0" collapsed="false">
      <c r="A41" s="6" t="s">
        <v>162</v>
      </c>
      <c r="B41" s="45" t="n">
        <f aca="false">MAX(0,ROUND($B$7+($B$8-$B$7)*8/11,0))</f>
        <v>17</v>
      </c>
      <c r="C41" s="19" t="n">
        <f aca="false">B41*$B$5</f>
        <v>4131</v>
      </c>
      <c r="D41" s="46" t="n">
        <f aca="false">MAX(0,ROUND($B$11+($B$12-$B$11)*8/11,0))</f>
        <v>49</v>
      </c>
      <c r="E41" s="25" t="n">
        <f aca="false">D41*$B$5</f>
        <v>11907</v>
      </c>
      <c r="F41" s="47" t="n">
        <f aca="false">MAX(0,ROUND($B$15+($B$16-$B$15)*8/11,0))</f>
        <v>98</v>
      </c>
      <c r="G41" s="48" t="n">
        <f aca="false">F41*$B$5</f>
        <v>23814</v>
      </c>
    </row>
    <row r="42" customFormat="false" ht="15" hidden="false" customHeight="false" outlineLevel="0" collapsed="false">
      <c r="A42" s="34" t="s">
        <v>163</v>
      </c>
      <c r="B42" s="45" t="n">
        <f aca="false">MAX(0,ROUND($B$7+($B$8-$B$7)*9/11,0))</f>
        <v>18</v>
      </c>
      <c r="C42" s="19" t="n">
        <f aca="false">B42*$B$5</f>
        <v>4374</v>
      </c>
      <c r="D42" s="46" t="n">
        <f aca="false">MAX(0,ROUND($B$11+($B$12-$B$11)*9/11,0))</f>
        <v>53</v>
      </c>
      <c r="E42" s="25" t="n">
        <f aca="false">D42*$B$5</f>
        <v>12879</v>
      </c>
      <c r="F42" s="47" t="n">
        <f aca="false">MAX(0,ROUND($B$15+($B$16-$B$15)*9/11,0))</f>
        <v>105</v>
      </c>
      <c r="G42" s="48" t="n">
        <f aca="false">F42*$B$5</f>
        <v>25515</v>
      </c>
    </row>
    <row r="43" customFormat="false" ht="15" hidden="false" customHeight="false" outlineLevel="0" collapsed="false">
      <c r="A43" s="6" t="s">
        <v>164</v>
      </c>
      <c r="B43" s="45" t="n">
        <f aca="false">MAX(0,ROUND($B$7+($B$8-$B$7)*10/11,0))</f>
        <v>19</v>
      </c>
      <c r="C43" s="19" t="n">
        <f aca="false">B43*$B$5</f>
        <v>4617</v>
      </c>
      <c r="D43" s="46" t="n">
        <f aca="false">MAX(0,ROUND($B$11+($B$12-$B$11)*10/11,0))</f>
        <v>56</v>
      </c>
      <c r="E43" s="25" t="n">
        <f aca="false">D43*$B$5</f>
        <v>13608</v>
      </c>
      <c r="F43" s="47" t="n">
        <f aca="false">MAX(0,ROUND($B$15+($B$16-$B$15)*10/11,0))</f>
        <v>113</v>
      </c>
      <c r="G43" s="48" t="n">
        <f aca="false">F43*$B$5</f>
        <v>27459</v>
      </c>
    </row>
    <row r="44" customFormat="false" ht="15" hidden="false" customHeight="false" outlineLevel="0" collapsed="false">
      <c r="A44" s="34" t="s">
        <v>165</v>
      </c>
      <c r="B44" s="45" t="n">
        <f aca="false">MAX(0,ROUND($B$7+($B$8-$B$7)*11/11,0))</f>
        <v>20</v>
      </c>
      <c r="C44" s="19" t="n">
        <f aca="false">B44*$B$5</f>
        <v>4860</v>
      </c>
      <c r="D44" s="46" t="n">
        <f aca="false">MAX(0,ROUND($B$11+($B$12-$B$11)*11/11,0))</f>
        <v>60</v>
      </c>
      <c r="E44" s="25" t="n">
        <f aca="false">D44*$B$5</f>
        <v>14580</v>
      </c>
      <c r="F44" s="47" t="n">
        <f aca="false">MAX(0,ROUND($B$15+($B$16-$B$15)*11/11,0))</f>
        <v>120</v>
      </c>
      <c r="G44" s="48" t="n">
        <f aca="false">F44*$B$5</f>
        <v>29160</v>
      </c>
    </row>
    <row r="45" customFormat="false" ht="15" hidden="false" customHeight="false" outlineLevel="0" collapsed="false">
      <c r="A45" s="6" t="s">
        <v>166</v>
      </c>
      <c r="B45" s="45" t="n">
        <f aca="false">MAX(0,ROUND($B$8+($B$9-$B$8)*0/11,0))</f>
        <v>20</v>
      </c>
      <c r="C45" s="19" t="n">
        <f aca="false">B45*$B$5</f>
        <v>4860</v>
      </c>
      <c r="D45" s="46" t="n">
        <f aca="false">MAX(0,ROUND($B$12+($B$13-$B$12)*0/11,0))</f>
        <v>60</v>
      </c>
      <c r="E45" s="25" t="n">
        <f aca="false">D45*$B$5</f>
        <v>14580</v>
      </c>
      <c r="F45" s="47" t="n">
        <f aca="false">MAX(0,ROUND($B$16+($B$17-$B$16)*0/11,0))</f>
        <v>120</v>
      </c>
      <c r="G45" s="48" t="n">
        <f aca="false">F45*$B$5</f>
        <v>29160</v>
      </c>
    </row>
    <row r="46" customFormat="false" ht="15" hidden="false" customHeight="false" outlineLevel="0" collapsed="false">
      <c r="A46" s="34" t="s">
        <v>167</v>
      </c>
      <c r="B46" s="45" t="n">
        <f aca="false">MAX(0,ROUND($B$8+($B$9-$B$8)*1/11,0))</f>
        <v>22</v>
      </c>
      <c r="C46" s="19" t="n">
        <f aca="false">B46*$B$5</f>
        <v>5346</v>
      </c>
      <c r="D46" s="46" t="n">
        <f aca="false">MAX(0,ROUND($B$12+($B$13-$B$12)*1/11,0))</f>
        <v>67</v>
      </c>
      <c r="E46" s="25" t="n">
        <f aca="false">D46*$B$5</f>
        <v>16281</v>
      </c>
      <c r="F46" s="47" t="n">
        <f aca="false">MAX(0,ROUND($B$16+($B$17-$B$16)*1/11,0))</f>
        <v>136</v>
      </c>
      <c r="G46" s="48" t="n">
        <f aca="false">F46*$B$5</f>
        <v>33048</v>
      </c>
    </row>
    <row r="47" customFormat="false" ht="15" hidden="false" customHeight="false" outlineLevel="0" collapsed="false">
      <c r="A47" s="6" t="s">
        <v>168</v>
      </c>
      <c r="B47" s="45" t="n">
        <f aca="false">MAX(0,ROUND($B$8+($B$9-$B$8)*2/11,0))</f>
        <v>25</v>
      </c>
      <c r="C47" s="19" t="n">
        <f aca="false">B47*$B$5</f>
        <v>6075</v>
      </c>
      <c r="D47" s="46" t="n">
        <f aca="false">MAX(0,ROUND($B$12+($B$13-$B$12)*2/11,0))</f>
        <v>75</v>
      </c>
      <c r="E47" s="25" t="n">
        <f aca="false">D47*$B$5</f>
        <v>18225</v>
      </c>
      <c r="F47" s="47" t="n">
        <f aca="false">MAX(0,ROUND($B$16+($B$17-$B$16)*2/11,0))</f>
        <v>153</v>
      </c>
      <c r="G47" s="48" t="n">
        <f aca="false">F47*$B$5</f>
        <v>37179</v>
      </c>
    </row>
    <row r="48" customFormat="false" ht="15" hidden="false" customHeight="false" outlineLevel="0" collapsed="false">
      <c r="A48" s="34" t="s">
        <v>169</v>
      </c>
      <c r="B48" s="45" t="n">
        <f aca="false">MAX(0,ROUND($B$8+($B$9-$B$8)*3/11,0))</f>
        <v>27</v>
      </c>
      <c r="C48" s="19" t="n">
        <f aca="false">B48*$B$5</f>
        <v>6561</v>
      </c>
      <c r="D48" s="46" t="n">
        <f aca="false">MAX(0,ROUND($B$12+($B$13-$B$12)*3/11,0))</f>
        <v>82</v>
      </c>
      <c r="E48" s="25" t="n">
        <f aca="false">D48*$B$5</f>
        <v>19926</v>
      </c>
      <c r="F48" s="47" t="n">
        <f aca="false">MAX(0,ROUND($B$16+($B$17-$B$16)*3/11,0))</f>
        <v>169</v>
      </c>
      <c r="G48" s="48" t="n">
        <f aca="false">F48*$B$5</f>
        <v>41067</v>
      </c>
    </row>
    <row r="49" customFormat="false" ht="15" hidden="false" customHeight="false" outlineLevel="0" collapsed="false">
      <c r="A49" s="6" t="s">
        <v>170</v>
      </c>
      <c r="B49" s="45" t="n">
        <f aca="false">MAX(0,ROUND($B$8+($B$9-$B$8)*4/11,0))</f>
        <v>29</v>
      </c>
      <c r="C49" s="19" t="n">
        <f aca="false">B49*$B$5</f>
        <v>7047</v>
      </c>
      <c r="D49" s="46" t="n">
        <f aca="false">MAX(0,ROUND($B$12+($B$13-$B$12)*4/11,0))</f>
        <v>89</v>
      </c>
      <c r="E49" s="25" t="n">
        <f aca="false">D49*$B$5</f>
        <v>21627</v>
      </c>
      <c r="F49" s="47" t="n">
        <f aca="false">MAX(0,ROUND($B$16+($B$17-$B$16)*4/11,0))</f>
        <v>185</v>
      </c>
      <c r="G49" s="48" t="n">
        <f aca="false">F49*$B$5</f>
        <v>44955</v>
      </c>
    </row>
    <row r="50" customFormat="false" ht="15" hidden="false" customHeight="false" outlineLevel="0" collapsed="false">
      <c r="A50" s="34" t="s">
        <v>171</v>
      </c>
      <c r="B50" s="45" t="n">
        <f aca="false">MAX(0,ROUND($B$8+($B$9-$B$8)*5/11,0))</f>
        <v>31</v>
      </c>
      <c r="C50" s="19" t="n">
        <f aca="false">B50*$B$5</f>
        <v>7533</v>
      </c>
      <c r="D50" s="46" t="n">
        <f aca="false">MAX(0,ROUND($B$12+($B$13-$B$12)*5/11,0))</f>
        <v>96</v>
      </c>
      <c r="E50" s="25" t="n">
        <f aca="false">D50*$B$5</f>
        <v>23328</v>
      </c>
      <c r="F50" s="47" t="n">
        <f aca="false">MAX(0,ROUND($B$16+($B$17-$B$16)*5/11,0))</f>
        <v>202</v>
      </c>
      <c r="G50" s="48" t="n">
        <f aca="false">F50*$B$5</f>
        <v>49086</v>
      </c>
    </row>
    <row r="51" customFormat="false" ht="15" hidden="false" customHeight="false" outlineLevel="0" collapsed="false">
      <c r="A51" s="6" t="s">
        <v>172</v>
      </c>
      <c r="B51" s="45" t="n">
        <f aca="false">MAX(0,ROUND($B$8+($B$9-$B$8)*6/11,0))</f>
        <v>34</v>
      </c>
      <c r="C51" s="19" t="n">
        <f aca="false">B51*$B$5</f>
        <v>8262</v>
      </c>
      <c r="D51" s="46" t="n">
        <f aca="false">MAX(0,ROUND($B$12+($B$13-$B$12)*6/11,0))</f>
        <v>104</v>
      </c>
      <c r="E51" s="25" t="n">
        <f aca="false">D51*$B$5</f>
        <v>25272</v>
      </c>
      <c r="F51" s="47" t="n">
        <f aca="false">MAX(0,ROUND($B$16+($B$17-$B$16)*6/11,0))</f>
        <v>218</v>
      </c>
      <c r="G51" s="48" t="n">
        <f aca="false">F51*$B$5</f>
        <v>52974</v>
      </c>
    </row>
    <row r="52" customFormat="false" ht="15" hidden="false" customHeight="false" outlineLevel="0" collapsed="false">
      <c r="A52" s="34" t="s">
        <v>173</v>
      </c>
      <c r="B52" s="45" t="n">
        <f aca="false">MAX(0,ROUND($B$8+($B$9-$B$8)*7/11,0))</f>
        <v>36</v>
      </c>
      <c r="C52" s="19" t="n">
        <f aca="false">B52*$B$5</f>
        <v>8748</v>
      </c>
      <c r="D52" s="46" t="n">
        <f aca="false">MAX(0,ROUND($B$12+($B$13-$B$12)*7/11,0))</f>
        <v>111</v>
      </c>
      <c r="E52" s="25" t="n">
        <f aca="false">D52*$B$5</f>
        <v>26973</v>
      </c>
      <c r="F52" s="47" t="n">
        <f aca="false">MAX(0,ROUND($B$16+($B$17-$B$16)*7/11,0))</f>
        <v>235</v>
      </c>
      <c r="G52" s="48" t="n">
        <f aca="false">F52*$B$5</f>
        <v>57105</v>
      </c>
    </row>
    <row r="53" customFormat="false" ht="15" hidden="false" customHeight="false" outlineLevel="0" collapsed="false">
      <c r="A53" s="6" t="s">
        <v>174</v>
      </c>
      <c r="B53" s="45" t="n">
        <f aca="false">MAX(0,ROUND($B$8+($B$9-$B$8)*8/11,0))</f>
        <v>38</v>
      </c>
      <c r="C53" s="19" t="n">
        <f aca="false">B53*$B$5</f>
        <v>9234</v>
      </c>
      <c r="D53" s="46" t="n">
        <f aca="false">MAX(0,ROUND($B$12+($B$13-$B$12)*8/11,0))</f>
        <v>118</v>
      </c>
      <c r="E53" s="25" t="n">
        <f aca="false">D53*$B$5</f>
        <v>28674</v>
      </c>
      <c r="F53" s="47" t="n">
        <f aca="false">MAX(0,ROUND($B$16+($B$17-$B$16)*8/11,0))</f>
        <v>251</v>
      </c>
      <c r="G53" s="48" t="n">
        <f aca="false">F53*$B$5</f>
        <v>60993</v>
      </c>
    </row>
    <row r="54" customFormat="false" ht="15" hidden="false" customHeight="false" outlineLevel="0" collapsed="false">
      <c r="A54" s="34" t="s">
        <v>175</v>
      </c>
      <c r="B54" s="45" t="n">
        <f aca="false">MAX(0,ROUND($B$8+($B$9-$B$8)*9/11,0))</f>
        <v>40</v>
      </c>
      <c r="C54" s="19" t="n">
        <f aca="false">B54*$B$5</f>
        <v>9720</v>
      </c>
      <c r="D54" s="46" t="n">
        <f aca="false">MAX(0,ROUND($B$12+($B$13-$B$12)*9/11,0))</f>
        <v>125</v>
      </c>
      <c r="E54" s="25" t="n">
        <f aca="false">D54*$B$5</f>
        <v>30375</v>
      </c>
      <c r="F54" s="47" t="n">
        <f aca="false">MAX(0,ROUND($B$16+($B$17-$B$16)*9/11,0))</f>
        <v>267</v>
      </c>
      <c r="G54" s="48" t="n">
        <f aca="false">F54*$B$5</f>
        <v>64881</v>
      </c>
    </row>
    <row r="55" customFormat="false" ht="15" hidden="false" customHeight="false" outlineLevel="0" collapsed="false">
      <c r="A55" s="6" t="s">
        <v>176</v>
      </c>
      <c r="B55" s="45" t="n">
        <f aca="false">MAX(0,ROUND($B$8+($B$9-$B$8)*10/11,0))</f>
        <v>43</v>
      </c>
      <c r="C55" s="19" t="n">
        <f aca="false">B55*$B$5</f>
        <v>10449</v>
      </c>
      <c r="D55" s="46" t="n">
        <f aca="false">MAX(0,ROUND($B$12+($B$13-$B$12)*10/11,0))</f>
        <v>133</v>
      </c>
      <c r="E55" s="25" t="n">
        <f aca="false">D55*$B$5</f>
        <v>32319</v>
      </c>
      <c r="F55" s="47" t="n">
        <f aca="false">MAX(0,ROUND($B$16+($B$17-$B$16)*10/11,0))</f>
        <v>284</v>
      </c>
      <c r="G55" s="48" t="n">
        <f aca="false">F55*$B$5</f>
        <v>69012</v>
      </c>
    </row>
    <row r="56" customFormat="false" ht="15" hidden="false" customHeight="false" outlineLevel="0" collapsed="false">
      <c r="A56" s="34" t="s">
        <v>177</v>
      </c>
      <c r="B56" s="45" t="n">
        <f aca="false">MAX(0,ROUND($B$8+($B$9-$B$8)*11/11,0))</f>
        <v>45</v>
      </c>
      <c r="C56" s="19" t="n">
        <f aca="false">B56*$B$5</f>
        <v>10935</v>
      </c>
      <c r="D56" s="46" t="n">
        <f aca="false">MAX(0,ROUND($B$12+($B$13-$B$12)*11/11,0))</f>
        <v>140</v>
      </c>
      <c r="E56" s="25" t="n">
        <f aca="false">D56*$B$5</f>
        <v>34020</v>
      </c>
      <c r="F56" s="47" t="n">
        <f aca="false">MAX(0,ROUND($B$16+($B$17-$B$16)*11/11,0))</f>
        <v>300</v>
      </c>
      <c r="G56" s="48" t="n">
        <f aca="false">F56*$B$5</f>
        <v>72900</v>
      </c>
    </row>
    <row r="59" customFormat="false" ht="15" hidden="false" customHeight="false" outlineLevel="0" collapsed="false">
      <c r="A59" s="3" t="s">
        <v>178</v>
      </c>
      <c r="B59" s="3"/>
      <c r="C59" s="3"/>
      <c r="D59" s="3"/>
      <c r="E59" s="3"/>
      <c r="F59" s="3"/>
      <c r="G59" s="3"/>
    </row>
    <row r="60" customFormat="false" ht="15" hidden="false" customHeight="false" outlineLevel="0" collapsed="false">
      <c r="A60" s="4" t="s">
        <v>179</v>
      </c>
      <c r="B60" s="4" t="s">
        <v>180</v>
      </c>
      <c r="C60" s="4" t="s">
        <v>137</v>
      </c>
      <c r="D60" s="4" t="s">
        <v>181</v>
      </c>
      <c r="E60" s="4" t="s">
        <v>139</v>
      </c>
      <c r="F60" s="4" t="s">
        <v>182</v>
      </c>
      <c r="G60" s="4" t="s">
        <v>141</v>
      </c>
    </row>
    <row r="61" customFormat="false" ht="15" hidden="false" customHeight="false" outlineLevel="0" collapsed="false">
      <c r="A61" s="49" t="s">
        <v>183</v>
      </c>
      <c r="B61" s="50" t="n">
        <f aca="false">SUM(B21:B32)</f>
        <v>60</v>
      </c>
      <c r="C61" s="51" t="n">
        <f aca="false">SUM(C21:C32)</f>
        <v>14580</v>
      </c>
      <c r="D61" s="50" t="n">
        <f aca="false">SUM(D21:D32)</f>
        <v>150</v>
      </c>
      <c r="E61" s="51" t="n">
        <f aca="false">SUM(E21:E32)</f>
        <v>36450</v>
      </c>
      <c r="F61" s="50" t="n">
        <f aca="false">SUM(F21:F32)</f>
        <v>300</v>
      </c>
      <c r="G61" s="51" t="n">
        <f aca="false">SUM(G21:G32)</f>
        <v>72900</v>
      </c>
    </row>
    <row r="62" customFormat="false" ht="15" hidden="false" customHeight="false" outlineLevel="0" collapsed="false">
      <c r="A62" s="52" t="s">
        <v>184</v>
      </c>
      <c r="B62" s="53" t="n">
        <f aca="false">SUM(B33:B44)</f>
        <v>168</v>
      </c>
      <c r="C62" s="54" t="n">
        <f aca="false">SUM(C33:C44)</f>
        <v>40824</v>
      </c>
      <c r="D62" s="53" t="n">
        <f aca="false">SUM(D33:D44)</f>
        <v>480</v>
      </c>
      <c r="E62" s="54" t="n">
        <f aca="false">SUM(E33:E44)</f>
        <v>116640</v>
      </c>
      <c r="F62" s="53" t="n">
        <f aca="false">SUM(F33:F44)</f>
        <v>960</v>
      </c>
      <c r="G62" s="54" t="n">
        <f aca="false">SUM(G33:G44)</f>
        <v>233280</v>
      </c>
    </row>
    <row r="63" customFormat="false" ht="15" hidden="false" customHeight="false" outlineLevel="0" collapsed="false">
      <c r="A63" s="49" t="s">
        <v>185</v>
      </c>
      <c r="B63" s="50" t="n">
        <f aca="false">SUM(B45:B56)</f>
        <v>390</v>
      </c>
      <c r="C63" s="51" t="n">
        <f aca="false">SUM(C45:C56)</f>
        <v>94770</v>
      </c>
      <c r="D63" s="50" t="n">
        <f aca="false">SUM(D45:D56)</f>
        <v>1200</v>
      </c>
      <c r="E63" s="51" t="n">
        <f aca="false">SUM(E45:E56)</f>
        <v>291600</v>
      </c>
      <c r="F63" s="50" t="n">
        <f aca="false">SUM(F45:F56)</f>
        <v>2520</v>
      </c>
      <c r="G63" s="51" t="n">
        <f aca="false">SUM(G45:G56)</f>
        <v>612360</v>
      </c>
    </row>
    <row r="64" customFormat="false" ht="15" hidden="false" customHeight="false" outlineLevel="0" collapsed="false">
      <c r="A64" s="55" t="s">
        <v>186</v>
      </c>
      <c r="B64" s="56" t="n">
        <f aca="false">SUM(B61:B63)</f>
        <v>618</v>
      </c>
      <c r="C64" s="57" t="n">
        <f aca="false">SUM(C61:C63)</f>
        <v>150174</v>
      </c>
      <c r="D64" s="56" t="n">
        <f aca="false">SUM(D61:D63)</f>
        <v>1830</v>
      </c>
      <c r="E64" s="57" t="n">
        <f aca="false">SUM(E61:E63)</f>
        <v>444690</v>
      </c>
      <c r="F64" s="56" t="n">
        <f aca="false">SUM(F61:F63)</f>
        <v>3780</v>
      </c>
      <c r="G64" s="57" t="n">
        <f aca="false">SUM(G61:G63)</f>
        <v>918540</v>
      </c>
    </row>
  </sheetData>
  <mergeCells count="4">
    <mergeCell ref="A1:N1"/>
    <mergeCell ref="A2:N2"/>
    <mergeCell ref="A4:D4"/>
    <mergeCell ref="A59:G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20"/>
    <col collapsed="false" customWidth="true" hidden="false" outlineLevel="0" max="8" min="6" style="0" width="10"/>
  </cols>
  <sheetData>
    <row r="1" customFormat="false" ht="30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188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44</v>
      </c>
      <c r="B4" s="4" t="s">
        <v>189</v>
      </c>
      <c r="C4" s="4" t="s">
        <v>190</v>
      </c>
      <c r="D4" s="4" t="s">
        <v>191</v>
      </c>
      <c r="E4" s="4" t="s">
        <v>192</v>
      </c>
      <c r="F4" s="4" t="s">
        <v>193</v>
      </c>
      <c r="G4" s="4" t="s">
        <v>194</v>
      </c>
      <c r="H4" s="4" t="s">
        <v>195</v>
      </c>
    </row>
    <row r="5" customFormat="false" ht="15" hidden="false" customHeight="false" outlineLevel="0" collapsed="false">
      <c r="A5" s="5" t="s">
        <v>9</v>
      </c>
      <c r="B5" s="6" t="s">
        <v>10</v>
      </c>
      <c r="C5" s="7" t="n">
        <v>79</v>
      </c>
      <c r="D5" s="7" t="n">
        <v>49</v>
      </c>
      <c r="E5" s="51" t="n">
        <f aca="false">C5+D5</f>
        <v>128</v>
      </c>
      <c r="F5" s="7" t="n">
        <v>204</v>
      </c>
      <c r="G5" s="14" t="n">
        <f aca="false">(E5)/F5</f>
        <v>0.627450980392157</v>
      </c>
      <c r="H5" s="58" t="n">
        <f aca="false">F5-E5</f>
        <v>76</v>
      </c>
    </row>
    <row r="6" customFormat="false" ht="15" hidden="false" customHeight="false" outlineLevel="0" collapsed="false">
      <c r="A6" s="29" t="s">
        <v>12</v>
      </c>
      <c r="B6" s="34" t="s">
        <v>13</v>
      </c>
      <c r="C6" s="7" t="n">
        <v>139</v>
      </c>
      <c r="D6" s="7" t="n">
        <v>79</v>
      </c>
      <c r="E6" s="59" t="n">
        <f aca="false">C6+D6</f>
        <v>218</v>
      </c>
      <c r="F6" s="7" t="n">
        <v>510</v>
      </c>
      <c r="G6" s="14" t="n">
        <f aca="false">(E6)/F6</f>
        <v>0.427450980392157</v>
      </c>
      <c r="H6" s="58" t="n">
        <f aca="false">F6-E6</f>
        <v>292</v>
      </c>
    </row>
    <row r="7" customFormat="false" ht="15" hidden="false" customHeight="false" outlineLevel="0" collapsed="false">
      <c r="A7" s="5" t="s">
        <v>14</v>
      </c>
      <c r="B7" s="6" t="s">
        <v>15</v>
      </c>
      <c r="C7" s="7" t="n">
        <v>189</v>
      </c>
      <c r="D7" s="7" t="n">
        <v>99</v>
      </c>
      <c r="E7" s="51" t="n">
        <f aca="false">C7+D7</f>
        <v>288</v>
      </c>
      <c r="F7" s="7" t="n">
        <v>1020</v>
      </c>
      <c r="G7" s="14" t="n">
        <f aca="false">(E7)/F7</f>
        <v>0.282352941176471</v>
      </c>
      <c r="H7" s="58" t="n">
        <f aca="false">F7-E7</f>
        <v>732</v>
      </c>
    </row>
    <row r="8" customFormat="false" ht="15" hidden="false" customHeight="false" outlineLevel="0" collapsed="false">
      <c r="A8" s="29" t="s">
        <v>16</v>
      </c>
      <c r="B8" s="34" t="s">
        <v>17</v>
      </c>
      <c r="C8" s="7" t="n">
        <v>239</v>
      </c>
      <c r="D8" s="7" t="n">
        <v>119</v>
      </c>
      <c r="E8" s="59" t="n">
        <f aca="false">C8+D8</f>
        <v>358</v>
      </c>
      <c r="F8" s="7" t="n">
        <v>1836</v>
      </c>
      <c r="G8" s="14" t="n">
        <f aca="false">(E8)/F8</f>
        <v>0.194989106753813</v>
      </c>
      <c r="H8" s="58" t="n">
        <f aca="false">F8-E8</f>
        <v>1478</v>
      </c>
    </row>
    <row r="9" customFormat="false" ht="15" hidden="false" customHeight="false" outlineLevel="0" collapsed="false">
      <c r="A9" s="10" t="s">
        <v>196</v>
      </c>
      <c r="B9" s="10"/>
      <c r="C9" s="57" t="n">
        <f aca="false">AVERAGE(C5:C8)</f>
        <v>161.5</v>
      </c>
      <c r="D9" s="57" t="n">
        <f aca="false">AVERAGE(D5:D8)</f>
        <v>86.5</v>
      </c>
      <c r="E9" s="57" t="n">
        <f aca="false">AVERAGE(E5:E8)</f>
        <v>248</v>
      </c>
      <c r="F9" s="57" t="n">
        <f aca="false">AVERAGE(F5:F8)</f>
        <v>892.5</v>
      </c>
      <c r="G9" s="60" t="n">
        <f aca="false">AVERAGE(G5:G8)</f>
        <v>0.383061002178649</v>
      </c>
      <c r="H9" s="57" t="n">
        <f aca="false">AVERAGE(H5:H8)</f>
        <v>644.5</v>
      </c>
    </row>
    <row r="11" customFormat="false" ht="15" hidden="false" customHeight="false" outlineLevel="0" collapsed="false">
      <c r="A11" s="3" t="s">
        <v>197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4" t="s">
        <v>198</v>
      </c>
      <c r="B12" s="4" t="s">
        <v>199</v>
      </c>
      <c r="C12" s="4" t="s">
        <v>200</v>
      </c>
      <c r="D12" s="4" t="s">
        <v>201</v>
      </c>
      <c r="E12" s="4" t="s">
        <v>8</v>
      </c>
      <c r="F12" s="4"/>
      <c r="G12" s="4"/>
      <c r="H12" s="4"/>
    </row>
    <row r="13" customFormat="false" ht="15" hidden="false" customHeight="false" outlineLevel="0" collapsed="false">
      <c r="A13" s="5" t="s">
        <v>202</v>
      </c>
      <c r="B13" s="45" t="n">
        <f aca="false">CEILING(3000/Assumptions!D32,1)</f>
        <v>13</v>
      </c>
      <c r="C13" s="7" t="n">
        <v>3000</v>
      </c>
      <c r="D13" s="19" t="n">
        <f aca="false">C13*12</f>
        <v>36000</v>
      </c>
      <c r="E13" s="61" t="s">
        <v>203</v>
      </c>
      <c r="F13" s="62"/>
      <c r="G13" s="62"/>
      <c r="H13" s="62"/>
    </row>
    <row r="14" customFormat="false" ht="15" hidden="false" customHeight="false" outlineLevel="0" collapsed="false">
      <c r="A14" s="29" t="s">
        <v>204</v>
      </c>
      <c r="B14" s="63" t="n">
        <f aca="false">CEILING(6000/Assumptions!D32,1)</f>
        <v>25</v>
      </c>
      <c r="C14" s="7" t="n">
        <v>6000</v>
      </c>
      <c r="D14" s="31" t="n">
        <f aca="false">C14*12</f>
        <v>72000</v>
      </c>
      <c r="E14" s="64" t="s">
        <v>205</v>
      </c>
      <c r="F14" s="62"/>
      <c r="G14" s="62"/>
      <c r="H14" s="62"/>
    </row>
    <row r="15" customFormat="false" ht="15" hidden="false" customHeight="false" outlineLevel="0" collapsed="false">
      <c r="A15" s="5" t="s">
        <v>206</v>
      </c>
      <c r="B15" s="45" t="n">
        <f aca="false">CEILING(15000/Assumptions!D32,1)</f>
        <v>62</v>
      </c>
      <c r="C15" s="7" t="n">
        <v>15000</v>
      </c>
      <c r="D15" s="19" t="n">
        <f aca="false">C15*12</f>
        <v>180000</v>
      </c>
      <c r="E15" s="61" t="s">
        <v>207</v>
      </c>
      <c r="F15" s="62"/>
      <c r="G15" s="62"/>
      <c r="H15" s="62"/>
    </row>
    <row r="16" customFormat="false" ht="15" hidden="false" customHeight="false" outlineLevel="0" collapsed="false">
      <c r="A16" s="29" t="s">
        <v>208</v>
      </c>
      <c r="B16" s="63" t="n">
        <f aca="false">CEILING(8333.33333333333/Assumptions!D32,1)</f>
        <v>35</v>
      </c>
      <c r="C16" s="7" t="n">
        <v>8333.33333333333</v>
      </c>
      <c r="D16" s="31" t="n">
        <f aca="false">C16*12</f>
        <v>100000</v>
      </c>
      <c r="E16" s="64" t="s">
        <v>209</v>
      </c>
      <c r="F16" s="62"/>
      <c r="G16" s="62"/>
      <c r="H16" s="62"/>
    </row>
    <row r="17" customFormat="false" ht="15" hidden="false" customHeight="false" outlineLevel="0" collapsed="false">
      <c r="A17" s="5" t="s">
        <v>210</v>
      </c>
      <c r="B17" s="45" t="n">
        <f aca="false">CEILING(41666.6666666667/Assumptions!D32,1)</f>
        <v>172</v>
      </c>
      <c r="C17" s="7" t="n">
        <v>41666.6666666667</v>
      </c>
      <c r="D17" s="19" t="n">
        <f aca="false">C17*12</f>
        <v>500000</v>
      </c>
      <c r="E17" s="61" t="s">
        <v>211</v>
      </c>
      <c r="F17" s="62"/>
      <c r="G17" s="62"/>
      <c r="H17" s="62"/>
    </row>
    <row r="18" customFormat="false" ht="15" hidden="false" customHeight="false" outlineLevel="0" collapsed="false">
      <c r="A18" s="29" t="s">
        <v>212</v>
      </c>
      <c r="B18" s="63" t="n">
        <f aca="false">CEILING(83333.3333333333/Assumptions!D32,1)</f>
        <v>343</v>
      </c>
      <c r="C18" s="7" t="n">
        <v>83333.3333333333</v>
      </c>
      <c r="D18" s="31" t="n">
        <f aca="false">C18*12</f>
        <v>1000000</v>
      </c>
      <c r="E18" s="64" t="s">
        <v>213</v>
      </c>
      <c r="F18" s="62"/>
      <c r="G18" s="62"/>
      <c r="H18" s="62"/>
    </row>
  </sheetData>
  <mergeCells count="4">
    <mergeCell ref="A1:H1"/>
    <mergeCell ref="A3:H3"/>
    <mergeCell ref="A9:B9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2026-04-07T21:35:17Z</dcterms:created>
  <dc:creator>openpyxl</dc:creator>
  <dc:description/>
  <dc:language>en-US</dc:language>
  <cp:lastModifiedBy/>
  <dcterms:modified xsi:type="dcterms:W3CDTF">2026-04-07T21:35:17Z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